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ivi VGP" state="visible" r:id="rId4"/>
    <sheet sheetId="2" name="Tableau de bord" state="visible" r:id="rId5"/>
    <sheet sheetId="3" name="Exemple" state="visible" r:id="rId6"/>
    <sheet sheetId="4" name="Périodicités" state="visible" r:id="rId7"/>
    <sheet sheetId="5" name="Mode d’emploi" state="visible" r:id="rId8"/>
  </sheets>
  <definedNames>
    <definedName name="_xlnm.Print_Titles" localSheetId="0">'Suivi VGP'!$4:$4</definedName>
    <definedName name="_xlnm.Print_Titles" localSheetId="2">'Exemple'!$4:$4</definedName>
  </definedNames>
  <calcPr calcId="171027" fullCalcOnLoad="1"/>
</workbook>
</file>

<file path=xl/sharedStrings.xml><?xml version="1.0" encoding="utf-8"?>
<sst xmlns="http://schemas.openxmlformats.org/spreadsheetml/2006/main" count="136" uniqueCount="100">
  <si>
    <t>Tableau de suivi des VGP</t>
  </si>
  <si>
    <t>Saisissez le repère, le type et la date de la dernière VGP : la périodicité, l’échéance et le statut se calculent seuls. Mode d’emploi dans l’onglet dédié.</t>
  </si>
  <si>
    <t>N°</t>
  </si>
  <si>
    <t>Équipement (repère)</t>
  </si>
  <si>
    <t>Type d’équipement</t>
  </si>
  <si>
    <t>N° de série</t>
  </si>
  <si>
    <t>Site / emplacement</t>
  </si>
  <si>
    <t>Dernière VGP</t>
  </si>
  <si>
    <t>Périodicité indicative</t>
  </si>
  <si>
    <t>Périodicité retenue (mois)</t>
  </si>
  <si>
    <t>Prochaine échéance</t>
  </si>
  <si>
    <t>Jours restants</t>
  </si>
  <si>
    <t>Statut</t>
  </si>
  <si>
    <t>Vérificateur / organisme</t>
  </si>
  <si>
    <t>N° du rapport</t>
  </si>
  <si>
    <t>Réserves à lever</t>
  </si>
  <si>
    <t>Observations</t>
  </si>
  <si>
    <t>Tableau de bord des VGP</t>
  </si>
  <si>
    <t>Équipements suivis</t>
  </si>
  <si>
    <t>En retard</t>
  </si>
  <si>
    <t>À planifier dans les 30 jours</t>
  </si>
  <si>
    <t>À jour</t>
  </si>
  <si>
    <t>Lignes à compléter (date ou périodicité)</t>
  </si>
  <si>
    <t>Équipements avec réserves à lever</t>
  </si>
  <si>
    <t>Équipement concerné</t>
  </si>
  <si>
    <t>Calculé depuis l’onglet « Suivi VGP ». L’onglet « Exemple » n’est pas compté.</t>
  </si>
  <si>
    <t>Chariot EXEMPLE quai 2</t>
  </si>
  <si>
    <t>Chariot élévateur</t>
  </si>
  <si>
    <t>SN-000001</t>
  </si>
  <si>
    <t>Entrepôt A</t>
  </si>
  <si>
    <t>Organisme EXEMPLE</t>
  </si>
  <si>
    <t>R-0001</t>
  </si>
  <si>
    <t>Non</t>
  </si>
  <si>
    <t>Aucune observation</t>
  </si>
  <si>
    <t>Pont EXEMPLE atelier</t>
  </si>
  <si>
    <t>Pont roulant, palan, potence</t>
  </si>
  <si>
    <t>SN-000002</t>
  </si>
  <si>
    <t>Atelier</t>
  </si>
  <si>
    <t>R-0002</t>
  </si>
  <si>
    <t>Oui</t>
  </si>
  <si>
    <t>Usure du câble à surveiller</t>
  </si>
  <si>
    <t>Nacelle EXEMPLE</t>
  </si>
  <si>
    <t>Nacelle (PEMP)</t>
  </si>
  <si>
    <t>SN-000003</t>
  </si>
  <si>
    <t>Chantier B</t>
  </si>
  <si>
    <t>R-0003</t>
  </si>
  <si>
    <t>Mois (calcul)</t>
  </si>
  <si>
    <t>Conditions</t>
  </si>
  <si>
    <t>Textes de référence</t>
  </si>
  <si>
    <t>Fiche et sources</t>
  </si>
  <si>
    <t>6 mois</t>
  </si>
  <si>
    <t>Six mois : l’appareil figure à la liste de l’article 20-II de l’arrêté (« chariots élévateurs »), reprise par l’article 23-a.</t>
  </si>
  <si>
    <t>Arrêté du 1er mars 2004 relatif aux vérifications des appareils et accessoires de levage, art. 2 et annexe ; Arrêté du 1er mars 2004, art. 23 et art. 20-II ; Arrêté du 1er mars 2004, art. 22-II, art. 9 et art. 6 ; Code du travail, art. R4323-24 ; Code du travail, art. R4323-25 et R4323-26 ; Arrêté du 2 mars 2004 relatif au carnet de maintenance des appareils de levage, art. 2 ; INRS, ED 6339, Vérifications réglementaires des machines, appareils et accessoires de levage, questions 5, 7, 8 et 12</t>
  </si>
  <si>
    <t>https://modele-vgp.fr/vgp/chariot-elevateur/</t>
  </si>
  <si>
    <t>Gerbeur</t>
  </si>
  <si>
    <t>6 ou 12 mois selon le cas</t>
  </si>
  <si>
    <t>à confirmer</t>
  </si>
  <si>
    <t>Six mois si le gerbeur est traité comme un chariot élévateur de la liste de l’article 20-II ; le rapprochement des deux textes n’est pas explicite et reste à confirmer. Sinon, la périodicité de droit commun est de douze mois (art. 23).</t>
  </si>
  <si>
    <t>Arrêté du 1er mars 2004 relatif aux vérifications des appareils et accessoires de levage, art. 2 et annexe ; Arrêté du 1er mars 2004, art. 23 et art. 20-II ; Code du travail, art. R4323-24 ; INRS, ED 6339, Vérifications réglementaires des machines, appareils et accessoires de levage, questions 5, 7, 8 et 12</t>
  </si>
  <si>
    <t>https://modele-vgp.fr/vgp/gerbeur/</t>
  </si>
  <si>
    <t>Six mois : la liste de l’article 20-II cite les « plates-formes élévatrices mobiles de personnes », reprise par l’article 23-a.</t>
  </si>
  <si>
    <t>Arrêté du 1er mars 2004 relatif aux vérifications des appareils et accessoires de levage, art. 2 et annexe ; Arrêté du 1er mars 2004, art. 23 et art. 20-II ; Arrêté du 1er mars 2004, art. 22-II, art. 9 et art. 6 ; Code du travail, art. R4323-24 ; Code du travail, art. R4323-25 et R4323-26 ; INRS, ED 6339, Vérifications réglementaires des machines, appareils et accessoires de levage, questions 5, 7, 8 et 12</t>
  </si>
  <si>
    <t>https://modele-vgp.fr/vgp/nacelle-pemp/</t>
  </si>
  <si>
    <t>12 mois</t>
  </si>
  <si>
    <t>Douze mois : périodicité de droit commun des appareils de levage (art. 23), l’appareil ne figurant pas à la liste de six mois de l’article 20-II.</t>
  </si>
  <si>
    <t>https://modele-vgp.fr/vgp/pont-roulant-palan-potence/</t>
  </si>
  <si>
    <t>Grue auxiliaire et grue mobile</t>
  </si>
  <si>
    <t>Six mois : les deux familles figurent à la liste de l’article 20-II, reprise par l’article 23-a.</t>
  </si>
  <si>
    <t>Arrêté du 1er mars 2004 relatif aux vérifications des appareils et accessoires de levage, art. 2 et annexe ; Arrêté du 1er mars 2004, art. 23 et art. 20-II ; Arrêté du 1er mars 2004, art. 22-II, art. 9 et art. 6 ; Code du travail, art. R4323-24 ; INRS, ED 6339, Vérifications réglementaires des machines, appareils et accessoires de levage, questions 5, 7, 8 et 12</t>
  </si>
  <si>
    <t>https://modele-vgp.fr/vgp/grue-auxiliaire-et-mobile/</t>
  </si>
  <si>
    <t>Hayon élévateur</t>
  </si>
  <si>
    <t>Six mois : l’appareil figure à la liste de l’article 20-II, reprise par l’article 23-a.</t>
  </si>
  <si>
    <t>https://modele-vgp.fr/vgp/hayon-elevateur/</t>
  </si>
  <si>
    <t>Engin de chantier</t>
  </si>
  <si>
    <t>12 mois (6 mois si équipé pour le levage)</t>
  </si>
  <si>
    <t>Douze mois par défaut ; six mois si l’engin est équipé pour le levage (art. 20-II et art. 23-a). La configuration exacte de votre machine doit être vérifiée : elle détermine la périodicité.</t>
  </si>
  <si>
    <t>https://modele-vgp.fr/vgp/engins-de-chantier/</t>
  </si>
  <si>
    <t>Accessoires de levage</t>
  </si>
  <si>
    <t>Douze mois : l’article 24 soumet les accessoires de levage à une vérification périodique annuelle portant sur leur état de conservation.</t>
  </si>
  <si>
    <t>Arrêté du 1er mars 2004 relatif aux vérifications des appareils et accessoires de levage, art. 2 et annexe ; Arrêté du 1er mars 2004, art. 24 ; Code du travail, art. R4323-24 ; INRS, ED 6339, Vérifications réglementaires des machines, appareils et accessoires de levage, questions 5, 7, 8 et 12</t>
  </si>
  <si>
    <t>https://modele-vgp.fr/vgp/accessoires-de-levage/</t>
  </si>
  <si>
    <t>Relevé des textes : 2026-09-21. « à confirmer » : la périodicité dépend de la configuration ; saisissez celle retenue par votre vérificateur dans la colonne H du suivi.</t>
  </si>
  <si>
    <t>Tableau de suivi des VGP · modele-vgp.fr</t>
  </si>
  <si>
    <t>1. Une ligne par équipement : repère, type (liste), numéro de série, emplacement.</t>
  </si>
  <si>
    <t>2. Saisissez la date de la dernière VGP, relevée sur le rapport.</t>
  </si>
  <si>
    <t>3. La périodicité indicative et la prochaine échéance se remplissent seules, à partir de l’onglet Périodicités.</t>
  </si>
  <si>
    <t>4. Si la périodicité est « à confirmer », choisissez celle retenue par votre vérificateur (3, 6 ou 12 mois) en colonne H.</t>
  </si>
  <si>
    <t>5. Le statut se met à jour chaque jour : À jour, À planifier (30 jours ou moins), En retard.</t>
  </si>
  <si>
    <t>6. Notez le numéro du rapport et les réserves à lever : filtrez la colonne « Réserves » pour les suivre.</t>
  </si>
  <si>
    <t/>
  </si>
  <si>
    <t>Bon à savoir</t>
  </si>
  <si>
    <t>Les périodicités viennent de l’arrêté du 1er mars 2004, citées article par article dans l’onglet Périodicités et sur chaque fiche du site.</t>
  </si>
  <si>
    <t>Le tableau organise votre suivi ; le texte applicable et le vérificateur restent la référence pour chaque équipement.</t>
  </si>
  <si>
    <t>Pensez à ranger chaque rapport avec le registre de sécurité : modèle gratuit sur le site.</t>
  </si>
  <si>
    <t>https://modele-vgp.fr/modeles/registre-securite-vgp/</t>
  </si>
  <si>
    <t>Votre parc grandit ?</t>
  </si>
  <si>
    <t>Au-delà d’une vingtaine d’équipements ou de plusieurs sites, un logiciel envoie les rappels, archive les rapports et partage le suivi. Comparez-les selon votre profil :</t>
  </si>
  <si>
    <t>https://modele-vgp.fr/logiciels-vgp/</t>
  </si>
  <si>
    <t>Faire réaliser une VGP près de chez vous :</t>
  </si>
  <si>
    <t>https://modele-vgp.fr/devis/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</si>
</sst>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color theme="1"/>
      <family val="2"/>
      <scheme val="minor"/>
      <sz val="11"/>
      <name val="Calibri"/>
    </font>
    <font>
      <b/>
      <color rgb="FF12314F"/>
      <sz val="16"/>
    </font>
    <font>
      <i/>
      <color rgb="FF5A6B80"/>
    </font>
    <font>
      <b/>
      <color rgb="FF12805F"/>
    </font>
    <font>
      <b/>
      <color rgb="FFFFFFFF"/>
    </font>
    <font>
      <b/>
      <color rgb="FF12314F"/>
    </font>
    <font>
      <b/>
      <color rgb="FFB42318"/>
      <sz val="16"/>
    </font>
    <font>
      <b/>
      <color rgb="FF9A6700"/>
      <sz val="16"/>
    </font>
    <font>
      <b/>
      <color rgb="FF0E6B4F"/>
      <sz val="16"/>
    </font>
    <font>
      <b/>
      <color rgb="FF12314F"/>
      <sz val="13"/>
    </font>
    <font>
      <u/>
      <color rgb="FF12805F"/>
    </font>
  </fonts>
  <fills count="7">
    <fill>
      <patternFill patternType="none"/>
    </fill>
    <fill>
      <patternFill patternType="gray125"/>
    </fill>
    <fill>
      <patternFill patternType="solid">
        <fgColor rgb="FF12314F"/>
      </patternFill>
    </fill>
    <fill>
      <patternFill patternType="solid">
        <fgColor rgb="FFF7F9FC"/>
      </patternFill>
    </fill>
    <fill>
      <patternFill patternType="solid">
        <fgColor rgb="FFFEF3F2"/>
      </patternFill>
    </fill>
    <fill>
      <patternFill patternType="solid">
        <fgColor rgb="FFFFF7E6"/>
      </patternFill>
    </fill>
    <fill>
      <patternFill patternType="solid">
        <fgColor rgb="FFEEF8F3"/>
      </patternFill>
    </fill>
  </fills>
  <borders count="2">
    <border>
      <left/>
      <right/>
      <top/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4" fillId="2" borderId="0" xfId="0" applyFont="1" applyFill="1"/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10">
    <dxf>
      <font>
        <b/>
        <color rgb="FFB42318"/>
      </font>
      <fill>
        <patternFill patternType="solid">
          <bgColor rgb="FFFEF3F2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0E6B4F"/>
      </font>
      <fill>
        <patternFill patternType="solid">
          <bgColor rgb="FFEEF8F3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B42318"/>
      </font>
      <fill>
        <patternFill patternType="solid">
          <bgColor rgb="FFFEF3F2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0E6B4F"/>
      </font>
      <fill>
        <patternFill patternType="solid">
          <bgColor rgb="FFEEF8F3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9A6700"/>
      </font>
      <fill>
        <patternFill patternType="solid">
          <bgColor rgb="FFFFF7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odele-vgp.fr/vgp/chariot-elevateur/" TargetMode="External"/><Relationship Id="rId2" Type="http://schemas.openxmlformats.org/officeDocument/2006/relationships/hyperlink" Target="https://modele-vgp.fr/vgp/gerbeur/" TargetMode="External"/><Relationship Id="rId3" Type="http://schemas.openxmlformats.org/officeDocument/2006/relationships/hyperlink" Target="https://modele-vgp.fr/vgp/nacelle-pemp/" TargetMode="External"/><Relationship Id="rId4" Type="http://schemas.openxmlformats.org/officeDocument/2006/relationships/hyperlink" Target="https://modele-vgp.fr/vgp/pont-roulant-palan-potence/" TargetMode="External"/><Relationship Id="rId5" Type="http://schemas.openxmlformats.org/officeDocument/2006/relationships/hyperlink" Target="https://modele-vgp.fr/vgp/grue-auxiliaire-et-mobile/" TargetMode="External"/><Relationship Id="rId6" Type="http://schemas.openxmlformats.org/officeDocument/2006/relationships/hyperlink" Target="https://modele-vgp.fr/vgp/hayon-elevateur/" TargetMode="External"/><Relationship Id="rId7" Type="http://schemas.openxmlformats.org/officeDocument/2006/relationships/hyperlink" Target="https://modele-vgp.fr/vgp/engins-de-chantier/" TargetMode="External"/><Relationship Id="rId8" Type="http://schemas.openxmlformats.org/officeDocument/2006/relationships/hyperlink" Target="https://modele-vgp.fr/vgp/accessoires-de-levage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odele-vgp.fr/modeles/registre-securite-vgp/" TargetMode="External"/><Relationship Id="rId2" Type="http://schemas.openxmlformats.org/officeDocument/2006/relationships/hyperlink" Target="https://modele-vgp.fr/logiciels-vgp/?utm_source=excel&amp;utm_medium=modele&amp;utm_campaign=suivi-vgp" TargetMode="External"/><Relationship Id="rId3" Type="http://schemas.openxmlformats.org/officeDocument/2006/relationships/hyperlink" Target="https://modele-vgp.fr/devis/?source=excel-suivi-v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26" customWidth="1"/>
    <col min="4" max="4" width="16" customWidth="1"/>
    <col min="5" max="5" width="20" customWidth="1"/>
    <col min="6" max="6" width="14" customWidth="1"/>
    <col min="7" max="7" width="22" customWidth="1"/>
    <col min="8" max="9" width="14" customWidth="1"/>
    <col min="10" max="10" width="11" customWidth="1"/>
    <col min="11" max="11" width="16" customWidth="1"/>
    <col min="12" max="12" width="22" customWidth="1"/>
    <col min="13" max="13" width="14" customWidth="1"/>
    <col min="14" max="14" width="11" customWidth="1"/>
    <col min="15" max="15" width="36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" x14ac:dyDescent="0.25">
      <c r="A3" s="3">
        <f>"Situation au "&amp;TEXT(TODAY(),"dd/mm/yyyy")</f>
      </c>
    </row>
    <row r="4" ht="32" customHeight="1" spans="1:1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x14ac:dyDescent="0.25">
      <c r="A5" s="5">
        <v>1</v>
      </c>
      <c r="B5" s="5"/>
      <c r="C5" s="5"/>
      <c r="D5" s="5"/>
      <c r="E5" s="5"/>
      <c r="F5" s="6"/>
      <c r="G5" s="7">
        <f>IF(C5="","",IFERROR(VLOOKUP(C5,'Périodicités'!$A:$B,2,FALSE),""))</f>
      </c>
      <c r="H5" s="5"/>
      <c r="I5" s="8">
        <f>IF(OR(F5="",NOT(ISNUMBER(IF(H5&lt;&gt;"",H5,IFERROR(VLOOKUP(C5,'Périodicités'!$A:$C,3,FALSE),""))))),"",EDATE(F5,IF(H5&lt;&gt;"",H5,IFERROR(VLOOKUP(C5,'Périodicités'!$A:$C,3,FALSE),""))))</f>
      </c>
      <c r="J5" s="9">
        <f>IF(I5="","",I5-TODAY())</f>
      </c>
      <c r="K5" s="7">
        <f>IF(B5&amp;C5="","",IF(F5="","Date à saisir",IF(I5="","Périodicité à confirmer",IF(J5&lt;0,"En retard",IF(J5&lt;=30,"À planifier","À jour")))))</f>
      </c>
      <c r="L5" s="5"/>
      <c r="M5" s="5"/>
      <c r="N5" s="5"/>
      <c r="O5" s="10"/>
    </row>
    <row r="6" spans="1:15" x14ac:dyDescent="0.25">
      <c r="A6" s="5">
        <v>2</v>
      </c>
      <c r="B6" s="5"/>
      <c r="C6" s="5"/>
      <c r="D6" s="5"/>
      <c r="E6" s="5"/>
      <c r="F6" s="6"/>
      <c r="G6" s="7">
        <f>IF(C6="","",IFERROR(VLOOKUP(C6,'Périodicités'!$A:$B,2,FALSE),""))</f>
      </c>
      <c r="H6" s="5"/>
      <c r="I6" s="8">
        <f>IF(OR(F6="",NOT(ISNUMBER(IF(H6&lt;&gt;"",H6,IFERROR(VLOOKUP(C6,'Périodicités'!$A:$C,3,FALSE),""))))),"",EDATE(F6,IF(H6&lt;&gt;"",H6,IFERROR(VLOOKUP(C6,'Périodicités'!$A:$C,3,FALSE),""))))</f>
      </c>
      <c r="J6" s="9">
        <f>IF(I6="","",I6-TODAY())</f>
      </c>
      <c r="K6" s="7">
        <f>IF(B6&amp;C6="","",IF(F6="","Date à saisir",IF(I6="","Périodicité à confirmer",IF(J6&lt;0,"En retard",IF(J6&lt;=30,"À planifier","À jour")))))</f>
      </c>
      <c r="L6" s="5"/>
      <c r="M6" s="5"/>
      <c r="N6" s="5"/>
      <c r="O6" s="10"/>
    </row>
    <row r="7" spans="1:15" x14ac:dyDescent="0.25">
      <c r="A7" s="5">
        <v>3</v>
      </c>
      <c r="B7" s="5"/>
      <c r="C7" s="5"/>
      <c r="D7" s="5"/>
      <c r="E7" s="5"/>
      <c r="F7" s="6"/>
      <c r="G7" s="7">
        <f>IF(C7="","",IFERROR(VLOOKUP(C7,'Périodicités'!$A:$B,2,FALSE),""))</f>
      </c>
      <c r="H7" s="5"/>
      <c r="I7" s="8">
        <f>IF(OR(F7="",NOT(ISNUMBER(IF(H7&lt;&gt;"",H7,IFERROR(VLOOKUP(C7,'Périodicités'!$A:$C,3,FALSE),""))))),"",EDATE(F7,IF(H7&lt;&gt;"",H7,IFERROR(VLOOKUP(C7,'Périodicités'!$A:$C,3,FALSE),""))))</f>
      </c>
      <c r="J7" s="9">
        <f>IF(I7="","",I7-TODAY())</f>
      </c>
      <c r="K7" s="7">
        <f>IF(B7&amp;C7="","",IF(F7="","Date à saisir",IF(I7="","Périodicité à confirmer",IF(J7&lt;0,"En retard",IF(J7&lt;=30,"À planifier","À jour")))))</f>
      </c>
      <c r="L7" s="5"/>
      <c r="M7" s="5"/>
      <c r="N7" s="5"/>
      <c r="O7" s="10"/>
    </row>
    <row r="8" spans="1:15" x14ac:dyDescent="0.25">
      <c r="A8" s="5">
        <v>4</v>
      </c>
      <c r="B8" s="5"/>
      <c r="C8" s="5"/>
      <c r="D8" s="5"/>
      <c r="E8" s="5"/>
      <c r="F8" s="6"/>
      <c r="G8" s="7">
        <f>IF(C8="","",IFERROR(VLOOKUP(C8,'Périodicités'!$A:$B,2,FALSE),""))</f>
      </c>
      <c r="H8" s="5"/>
      <c r="I8" s="8">
        <f>IF(OR(F8="",NOT(ISNUMBER(IF(H8&lt;&gt;"",H8,IFERROR(VLOOKUP(C8,'Périodicités'!$A:$C,3,FALSE),""))))),"",EDATE(F8,IF(H8&lt;&gt;"",H8,IFERROR(VLOOKUP(C8,'Périodicités'!$A:$C,3,FALSE),""))))</f>
      </c>
      <c r="J8" s="9">
        <f>IF(I8="","",I8-TODAY())</f>
      </c>
      <c r="K8" s="7">
        <f>IF(B8&amp;C8="","",IF(F8="","Date à saisir",IF(I8="","Périodicité à confirmer",IF(J8&lt;0,"En retard",IF(J8&lt;=30,"À planifier","À jour")))))</f>
      </c>
      <c r="L8" s="5"/>
      <c r="M8" s="5"/>
      <c r="N8" s="5"/>
      <c r="O8" s="10"/>
    </row>
    <row r="9" spans="1:15" x14ac:dyDescent="0.25">
      <c r="A9" s="5">
        <v>5</v>
      </c>
      <c r="B9" s="5"/>
      <c r="C9" s="5"/>
      <c r="D9" s="5"/>
      <c r="E9" s="5"/>
      <c r="F9" s="6"/>
      <c r="G9" s="7">
        <f>IF(C9="","",IFERROR(VLOOKUP(C9,'Périodicités'!$A:$B,2,FALSE),""))</f>
      </c>
      <c r="H9" s="5"/>
      <c r="I9" s="8">
        <f>IF(OR(F9="",NOT(ISNUMBER(IF(H9&lt;&gt;"",H9,IFERROR(VLOOKUP(C9,'Périodicités'!$A:$C,3,FALSE),""))))),"",EDATE(F9,IF(H9&lt;&gt;"",H9,IFERROR(VLOOKUP(C9,'Périodicités'!$A:$C,3,FALSE),""))))</f>
      </c>
      <c r="J9" s="9">
        <f>IF(I9="","",I9-TODAY())</f>
      </c>
      <c r="K9" s="7">
        <f>IF(B9&amp;C9="","",IF(F9="","Date à saisir",IF(I9="","Périodicité à confirmer",IF(J9&lt;0,"En retard",IF(J9&lt;=30,"À planifier","À jour")))))</f>
      </c>
      <c r="L9" s="5"/>
      <c r="M9" s="5"/>
      <c r="N9" s="5"/>
      <c r="O9" s="10"/>
    </row>
    <row r="10" spans="1:15" x14ac:dyDescent="0.25">
      <c r="A10" s="5">
        <v>6</v>
      </c>
      <c r="B10" s="5"/>
      <c r="C10" s="5"/>
      <c r="D10" s="5"/>
      <c r="E10" s="5"/>
      <c r="F10" s="6"/>
      <c r="G10" s="7">
        <f>IF(C10="","",IFERROR(VLOOKUP(C10,'Périodicités'!$A:$B,2,FALSE),""))</f>
      </c>
      <c r="H10" s="5"/>
      <c r="I10" s="8">
        <f>IF(OR(F10="",NOT(ISNUMBER(IF(H10&lt;&gt;"",H10,IFERROR(VLOOKUP(C10,'Périodicités'!$A:$C,3,FALSE),""))))),"",EDATE(F10,IF(H10&lt;&gt;"",H10,IFERROR(VLOOKUP(C10,'Périodicités'!$A:$C,3,FALSE),""))))</f>
      </c>
      <c r="J10" s="9">
        <f>IF(I10="","",I10-TODAY())</f>
      </c>
      <c r="K10" s="7">
        <f>IF(B10&amp;C10="","",IF(F10="","Date à saisir",IF(I10="","Périodicité à confirmer",IF(J10&lt;0,"En retard",IF(J10&lt;=30,"À planifier","À jour")))))</f>
      </c>
      <c r="L10" s="5"/>
      <c r="M10" s="5"/>
      <c r="N10" s="5"/>
      <c r="O10" s="10"/>
    </row>
    <row r="11" spans="1:15" x14ac:dyDescent="0.25">
      <c r="A11" s="5">
        <v>7</v>
      </c>
      <c r="B11" s="5"/>
      <c r="C11" s="5"/>
      <c r="D11" s="5"/>
      <c r="E11" s="5"/>
      <c r="F11" s="6"/>
      <c r="G11" s="7">
        <f>IF(C11="","",IFERROR(VLOOKUP(C11,'Périodicités'!$A:$B,2,FALSE),""))</f>
      </c>
      <c r="H11" s="5"/>
      <c r="I11" s="8">
        <f>IF(OR(F11="",NOT(ISNUMBER(IF(H11&lt;&gt;"",H11,IFERROR(VLOOKUP(C11,'Périodicités'!$A:$C,3,FALSE),""))))),"",EDATE(F11,IF(H11&lt;&gt;"",H11,IFERROR(VLOOKUP(C11,'Périodicités'!$A:$C,3,FALSE),""))))</f>
      </c>
      <c r="J11" s="9">
        <f>IF(I11="","",I11-TODAY())</f>
      </c>
      <c r="K11" s="7">
        <f>IF(B11&amp;C11="","",IF(F11="","Date à saisir",IF(I11="","Périodicité à confirmer",IF(J11&lt;0,"En retard",IF(J11&lt;=30,"À planifier","À jour")))))</f>
      </c>
      <c r="L11" s="5"/>
      <c r="M11" s="5"/>
      <c r="N11" s="5"/>
      <c r="O11" s="10"/>
    </row>
    <row r="12" spans="1:15" x14ac:dyDescent="0.25">
      <c r="A12" s="5">
        <v>8</v>
      </c>
      <c r="B12" s="5"/>
      <c r="C12" s="5"/>
      <c r="D12" s="5"/>
      <c r="E12" s="5"/>
      <c r="F12" s="6"/>
      <c r="G12" s="7">
        <f>IF(C12="","",IFERROR(VLOOKUP(C12,'Périodicités'!$A:$B,2,FALSE),""))</f>
      </c>
      <c r="H12" s="5"/>
      <c r="I12" s="8">
        <f>IF(OR(F12="",NOT(ISNUMBER(IF(H12&lt;&gt;"",H12,IFERROR(VLOOKUP(C12,'Périodicités'!$A:$C,3,FALSE),""))))),"",EDATE(F12,IF(H12&lt;&gt;"",H12,IFERROR(VLOOKUP(C12,'Périodicités'!$A:$C,3,FALSE),""))))</f>
      </c>
      <c r="J12" s="9">
        <f>IF(I12="","",I12-TODAY())</f>
      </c>
      <c r="K12" s="7">
        <f>IF(B12&amp;C12="","",IF(F12="","Date à saisir",IF(I12="","Périodicité à confirmer",IF(J12&lt;0,"En retard",IF(J12&lt;=30,"À planifier","À jour")))))</f>
      </c>
      <c r="L12" s="5"/>
      <c r="M12" s="5"/>
      <c r="N12" s="5"/>
      <c r="O12" s="10"/>
    </row>
    <row r="13" spans="1:15" x14ac:dyDescent="0.25">
      <c r="A13" s="5">
        <v>9</v>
      </c>
      <c r="B13" s="5"/>
      <c r="C13" s="5"/>
      <c r="D13" s="5"/>
      <c r="E13" s="5"/>
      <c r="F13" s="6"/>
      <c r="G13" s="7">
        <f>IF(C13="","",IFERROR(VLOOKUP(C13,'Périodicités'!$A:$B,2,FALSE),""))</f>
      </c>
      <c r="H13" s="5"/>
      <c r="I13" s="8">
        <f>IF(OR(F13="",NOT(ISNUMBER(IF(H13&lt;&gt;"",H13,IFERROR(VLOOKUP(C13,'Périodicités'!$A:$C,3,FALSE),""))))),"",EDATE(F13,IF(H13&lt;&gt;"",H13,IFERROR(VLOOKUP(C13,'Périodicités'!$A:$C,3,FALSE),""))))</f>
      </c>
      <c r="J13" s="9">
        <f>IF(I13="","",I13-TODAY())</f>
      </c>
      <c r="K13" s="7">
        <f>IF(B13&amp;C13="","",IF(F13="","Date à saisir",IF(I13="","Périodicité à confirmer",IF(J13&lt;0,"En retard",IF(J13&lt;=30,"À planifier","À jour")))))</f>
      </c>
      <c r="L13" s="5"/>
      <c r="M13" s="5"/>
      <c r="N13" s="5"/>
      <c r="O13" s="10"/>
    </row>
    <row r="14" spans="1:15" x14ac:dyDescent="0.25">
      <c r="A14" s="5">
        <v>10</v>
      </c>
      <c r="B14" s="5"/>
      <c r="C14" s="5"/>
      <c r="D14" s="5"/>
      <c r="E14" s="5"/>
      <c r="F14" s="6"/>
      <c r="G14" s="7">
        <f>IF(C14="","",IFERROR(VLOOKUP(C14,'Périodicités'!$A:$B,2,FALSE),""))</f>
      </c>
      <c r="H14" s="5"/>
      <c r="I14" s="8">
        <f>IF(OR(F14="",NOT(ISNUMBER(IF(H14&lt;&gt;"",H14,IFERROR(VLOOKUP(C14,'Périodicités'!$A:$C,3,FALSE),""))))),"",EDATE(F14,IF(H14&lt;&gt;"",H14,IFERROR(VLOOKUP(C14,'Périodicités'!$A:$C,3,FALSE),""))))</f>
      </c>
      <c r="J14" s="9">
        <f>IF(I14="","",I14-TODAY())</f>
      </c>
      <c r="K14" s="7">
        <f>IF(B14&amp;C14="","",IF(F14="","Date à saisir",IF(I14="","Périodicité à confirmer",IF(J14&lt;0,"En retard",IF(J14&lt;=30,"À planifier","À jour")))))</f>
      </c>
      <c r="L14" s="5"/>
      <c r="M14" s="5"/>
      <c r="N14" s="5"/>
      <c r="O14" s="10"/>
    </row>
    <row r="15" spans="1:15" x14ac:dyDescent="0.25">
      <c r="A15" s="5">
        <v>11</v>
      </c>
      <c r="B15" s="5"/>
      <c r="C15" s="5"/>
      <c r="D15" s="5"/>
      <c r="E15" s="5"/>
      <c r="F15" s="6"/>
      <c r="G15" s="7">
        <f>IF(C15="","",IFERROR(VLOOKUP(C15,'Périodicités'!$A:$B,2,FALSE),""))</f>
      </c>
      <c r="H15" s="5"/>
      <c r="I15" s="8">
        <f>IF(OR(F15="",NOT(ISNUMBER(IF(H15&lt;&gt;"",H15,IFERROR(VLOOKUP(C15,'Périodicités'!$A:$C,3,FALSE),""))))),"",EDATE(F15,IF(H15&lt;&gt;"",H15,IFERROR(VLOOKUP(C15,'Périodicités'!$A:$C,3,FALSE),""))))</f>
      </c>
      <c r="J15" s="9">
        <f>IF(I15="","",I15-TODAY())</f>
      </c>
      <c r="K15" s="7">
        <f>IF(B15&amp;C15="","",IF(F15="","Date à saisir",IF(I15="","Périodicité à confirmer",IF(J15&lt;0,"En retard",IF(J15&lt;=30,"À planifier","À jour")))))</f>
      </c>
      <c r="L15" s="5"/>
      <c r="M15" s="5"/>
      <c r="N15" s="5"/>
      <c r="O15" s="10"/>
    </row>
    <row r="16" spans="1:15" x14ac:dyDescent="0.25">
      <c r="A16" s="5">
        <v>12</v>
      </c>
      <c r="B16" s="5"/>
      <c r="C16" s="5"/>
      <c r="D16" s="5"/>
      <c r="E16" s="5"/>
      <c r="F16" s="6"/>
      <c r="G16" s="7">
        <f>IF(C16="","",IFERROR(VLOOKUP(C16,'Périodicités'!$A:$B,2,FALSE),""))</f>
      </c>
      <c r="H16" s="5"/>
      <c r="I16" s="8">
        <f>IF(OR(F16="",NOT(ISNUMBER(IF(H16&lt;&gt;"",H16,IFERROR(VLOOKUP(C16,'Périodicités'!$A:$C,3,FALSE),""))))),"",EDATE(F16,IF(H16&lt;&gt;"",H16,IFERROR(VLOOKUP(C16,'Périodicités'!$A:$C,3,FALSE),""))))</f>
      </c>
      <c r="J16" s="9">
        <f>IF(I16="","",I16-TODAY())</f>
      </c>
      <c r="K16" s="7">
        <f>IF(B16&amp;C16="","",IF(F16="","Date à saisir",IF(I16="","Périodicité à confirmer",IF(J16&lt;0,"En retard",IF(J16&lt;=30,"À planifier","À jour")))))</f>
      </c>
      <c r="L16" s="5"/>
      <c r="M16" s="5"/>
      <c r="N16" s="5"/>
      <c r="O16" s="10"/>
    </row>
    <row r="17" spans="1:15" x14ac:dyDescent="0.25">
      <c r="A17" s="5">
        <v>13</v>
      </c>
      <c r="B17" s="5"/>
      <c r="C17" s="5"/>
      <c r="D17" s="5"/>
      <c r="E17" s="5"/>
      <c r="F17" s="6"/>
      <c r="G17" s="7">
        <f>IF(C17="","",IFERROR(VLOOKUP(C17,'Périodicités'!$A:$B,2,FALSE),""))</f>
      </c>
      <c r="H17" s="5"/>
      <c r="I17" s="8">
        <f>IF(OR(F17="",NOT(ISNUMBER(IF(H17&lt;&gt;"",H17,IFERROR(VLOOKUP(C17,'Périodicités'!$A:$C,3,FALSE),""))))),"",EDATE(F17,IF(H17&lt;&gt;"",H17,IFERROR(VLOOKUP(C17,'Périodicités'!$A:$C,3,FALSE),""))))</f>
      </c>
      <c r="J17" s="9">
        <f>IF(I17="","",I17-TODAY())</f>
      </c>
      <c r="K17" s="7">
        <f>IF(B17&amp;C17="","",IF(F17="","Date à saisir",IF(I17="","Périodicité à confirmer",IF(J17&lt;0,"En retard",IF(J17&lt;=30,"À planifier","À jour")))))</f>
      </c>
      <c r="L17" s="5"/>
      <c r="M17" s="5"/>
      <c r="N17" s="5"/>
      <c r="O17" s="10"/>
    </row>
    <row r="18" spans="1:15" x14ac:dyDescent="0.25">
      <c r="A18" s="5">
        <v>14</v>
      </c>
      <c r="B18" s="5"/>
      <c r="C18" s="5"/>
      <c r="D18" s="5"/>
      <c r="E18" s="5"/>
      <c r="F18" s="6"/>
      <c r="G18" s="7">
        <f>IF(C18="","",IFERROR(VLOOKUP(C18,'Périodicités'!$A:$B,2,FALSE),""))</f>
      </c>
      <c r="H18" s="5"/>
      <c r="I18" s="8">
        <f>IF(OR(F18="",NOT(ISNUMBER(IF(H18&lt;&gt;"",H18,IFERROR(VLOOKUP(C18,'Périodicités'!$A:$C,3,FALSE),""))))),"",EDATE(F18,IF(H18&lt;&gt;"",H18,IFERROR(VLOOKUP(C18,'Périodicités'!$A:$C,3,FALSE),""))))</f>
      </c>
      <c r="J18" s="9">
        <f>IF(I18="","",I18-TODAY())</f>
      </c>
      <c r="K18" s="7">
        <f>IF(B18&amp;C18="","",IF(F18="","Date à saisir",IF(I18="","Périodicité à confirmer",IF(J18&lt;0,"En retard",IF(J18&lt;=30,"À planifier","À jour")))))</f>
      </c>
      <c r="L18" s="5"/>
      <c r="M18" s="5"/>
      <c r="N18" s="5"/>
      <c r="O18" s="10"/>
    </row>
    <row r="19" spans="1:15" x14ac:dyDescent="0.25">
      <c r="A19" s="5">
        <v>15</v>
      </c>
      <c r="B19" s="5"/>
      <c r="C19" s="5"/>
      <c r="D19" s="5"/>
      <c r="E19" s="5"/>
      <c r="F19" s="6"/>
      <c r="G19" s="7">
        <f>IF(C19="","",IFERROR(VLOOKUP(C19,'Périodicités'!$A:$B,2,FALSE),""))</f>
      </c>
      <c r="H19" s="5"/>
      <c r="I19" s="8">
        <f>IF(OR(F19="",NOT(ISNUMBER(IF(H19&lt;&gt;"",H19,IFERROR(VLOOKUP(C19,'Périodicités'!$A:$C,3,FALSE),""))))),"",EDATE(F19,IF(H19&lt;&gt;"",H19,IFERROR(VLOOKUP(C19,'Périodicités'!$A:$C,3,FALSE),""))))</f>
      </c>
      <c r="J19" s="9">
        <f>IF(I19="","",I19-TODAY())</f>
      </c>
      <c r="K19" s="7">
        <f>IF(B19&amp;C19="","",IF(F19="","Date à saisir",IF(I19="","Périodicité à confirmer",IF(J19&lt;0,"En retard",IF(J19&lt;=30,"À planifier","À jour")))))</f>
      </c>
      <c r="L19" s="5"/>
      <c r="M19" s="5"/>
      <c r="N19" s="5"/>
      <c r="O19" s="10"/>
    </row>
    <row r="20" spans="1:15" x14ac:dyDescent="0.25">
      <c r="A20" s="5">
        <v>16</v>
      </c>
      <c r="B20" s="5"/>
      <c r="C20" s="5"/>
      <c r="D20" s="5"/>
      <c r="E20" s="5"/>
      <c r="F20" s="6"/>
      <c r="G20" s="7">
        <f>IF(C20="","",IFERROR(VLOOKUP(C20,'Périodicités'!$A:$B,2,FALSE),""))</f>
      </c>
      <c r="H20" s="5"/>
      <c r="I20" s="8">
        <f>IF(OR(F20="",NOT(ISNUMBER(IF(H20&lt;&gt;"",H20,IFERROR(VLOOKUP(C20,'Périodicités'!$A:$C,3,FALSE),""))))),"",EDATE(F20,IF(H20&lt;&gt;"",H20,IFERROR(VLOOKUP(C20,'Périodicités'!$A:$C,3,FALSE),""))))</f>
      </c>
      <c r="J20" s="9">
        <f>IF(I20="","",I20-TODAY())</f>
      </c>
      <c r="K20" s="7">
        <f>IF(B20&amp;C20="","",IF(F20="","Date à saisir",IF(I20="","Périodicité à confirmer",IF(J20&lt;0,"En retard",IF(J20&lt;=30,"À planifier","À jour")))))</f>
      </c>
      <c r="L20" s="5"/>
      <c r="M20" s="5"/>
      <c r="N20" s="5"/>
      <c r="O20" s="10"/>
    </row>
    <row r="21" spans="1:15" x14ac:dyDescent="0.25">
      <c r="A21" s="5">
        <v>17</v>
      </c>
      <c r="B21" s="5"/>
      <c r="C21" s="5"/>
      <c r="D21" s="5"/>
      <c r="E21" s="5"/>
      <c r="F21" s="6"/>
      <c r="G21" s="7">
        <f>IF(C21="","",IFERROR(VLOOKUP(C21,'Périodicités'!$A:$B,2,FALSE),""))</f>
      </c>
      <c r="H21" s="5"/>
      <c r="I21" s="8">
        <f>IF(OR(F21="",NOT(ISNUMBER(IF(H21&lt;&gt;"",H21,IFERROR(VLOOKUP(C21,'Périodicités'!$A:$C,3,FALSE),""))))),"",EDATE(F21,IF(H21&lt;&gt;"",H21,IFERROR(VLOOKUP(C21,'Périodicités'!$A:$C,3,FALSE),""))))</f>
      </c>
      <c r="J21" s="9">
        <f>IF(I21="","",I21-TODAY())</f>
      </c>
      <c r="K21" s="7">
        <f>IF(B21&amp;C21="","",IF(F21="","Date à saisir",IF(I21="","Périodicité à confirmer",IF(J21&lt;0,"En retard",IF(J21&lt;=30,"À planifier","À jour")))))</f>
      </c>
      <c r="L21" s="5"/>
      <c r="M21" s="5"/>
      <c r="N21" s="5"/>
      <c r="O21" s="10"/>
    </row>
    <row r="22" spans="1:15" x14ac:dyDescent="0.25">
      <c r="A22" s="5">
        <v>18</v>
      </c>
      <c r="B22" s="5"/>
      <c r="C22" s="5"/>
      <c r="D22" s="5"/>
      <c r="E22" s="5"/>
      <c r="F22" s="6"/>
      <c r="G22" s="7">
        <f>IF(C22="","",IFERROR(VLOOKUP(C22,'Périodicités'!$A:$B,2,FALSE),""))</f>
      </c>
      <c r="H22" s="5"/>
      <c r="I22" s="8">
        <f>IF(OR(F22="",NOT(ISNUMBER(IF(H22&lt;&gt;"",H22,IFERROR(VLOOKUP(C22,'Périodicités'!$A:$C,3,FALSE),""))))),"",EDATE(F22,IF(H22&lt;&gt;"",H22,IFERROR(VLOOKUP(C22,'Périodicités'!$A:$C,3,FALSE),""))))</f>
      </c>
      <c r="J22" s="9">
        <f>IF(I22="","",I22-TODAY())</f>
      </c>
      <c r="K22" s="7">
        <f>IF(B22&amp;C22="","",IF(F22="","Date à saisir",IF(I22="","Périodicité à confirmer",IF(J22&lt;0,"En retard",IF(J22&lt;=30,"À planifier","À jour")))))</f>
      </c>
      <c r="L22" s="5"/>
      <c r="M22" s="5"/>
      <c r="N22" s="5"/>
      <c r="O22" s="10"/>
    </row>
    <row r="23" spans="1:15" x14ac:dyDescent="0.25">
      <c r="A23" s="5">
        <v>19</v>
      </c>
      <c r="B23" s="5"/>
      <c r="C23" s="5"/>
      <c r="D23" s="5"/>
      <c r="E23" s="5"/>
      <c r="F23" s="6"/>
      <c r="G23" s="7">
        <f>IF(C23="","",IFERROR(VLOOKUP(C23,'Périodicités'!$A:$B,2,FALSE),""))</f>
      </c>
      <c r="H23" s="5"/>
      <c r="I23" s="8">
        <f>IF(OR(F23="",NOT(ISNUMBER(IF(H23&lt;&gt;"",H23,IFERROR(VLOOKUP(C23,'Périodicités'!$A:$C,3,FALSE),""))))),"",EDATE(F23,IF(H23&lt;&gt;"",H23,IFERROR(VLOOKUP(C23,'Périodicités'!$A:$C,3,FALSE),""))))</f>
      </c>
      <c r="J23" s="9">
        <f>IF(I23="","",I23-TODAY())</f>
      </c>
      <c r="K23" s="7">
        <f>IF(B23&amp;C23="","",IF(F23="","Date à saisir",IF(I23="","Périodicité à confirmer",IF(J23&lt;0,"En retard",IF(J23&lt;=30,"À planifier","À jour")))))</f>
      </c>
      <c r="L23" s="5"/>
      <c r="M23" s="5"/>
      <c r="N23" s="5"/>
      <c r="O23" s="10"/>
    </row>
    <row r="24" spans="1:15" x14ac:dyDescent="0.25">
      <c r="A24" s="5">
        <v>20</v>
      </c>
      <c r="B24" s="5"/>
      <c r="C24" s="5"/>
      <c r="D24" s="5"/>
      <c r="E24" s="5"/>
      <c r="F24" s="6"/>
      <c r="G24" s="7">
        <f>IF(C24="","",IFERROR(VLOOKUP(C24,'Périodicités'!$A:$B,2,FALSE),""))</f>
      </c>
      <c r="H24" s="5"/>
      <c r="I24" s="8">
        <f>IF(OR(F24="",NOT(ISNUMBER(IF(H24&lt;&gt;"",H24,IFERROR(VLOOKUP(C24,'Périodicités'!$A:$C,3,FALSE),""))))),"",EDATE(F24,IF(H24&lt;&gt;"",H24,IFERROR(VLOOKUP(C24,'Périodicités'!$A:$C,3,FALSE),""))))</f>
      </c>
      <c r="J24" s="9">
        <f>IF(I24="","",I24-TODAY())</f>
      </c>
      <c r="K24" s="7">
        <f>IF(B24&amp;C24="","",IF(F24="","Date à saisir",IF(I24="","Périodicité à confirmer",IF(J24&lt;0,"En retard",IF(J24&lt;=30,"À planifier","À jour")))))</f>
      </c>
      <c r="L24" s="5"/>
      <c r="M24" s="5"/>
      <c r="N24" s="5"/>
      <c r="O24" s="10"/>
    </row>
    <row r="25" spans="1:15" x14ac:dyDescent="0.25">
      <c r="A25" s="5">
        <v>21</v>
      </c>
      <c r="B25" s="5"/>
      <c r="C25" s="5"/>
      <c r="D25" s="5"/>
      <c r="E25" s="5"/>
      <c r="F25" s="6"/>
      <c r="G25" s="7">
        <f>IF(C25="","",IFERROR(VLOOKUP(C25,'Périodicités'!$A:$B,2,FALSE),""))</f>
      </c>
      <c r="H25" s="5"/>
      <c r="I25" s="8">
        <f>IF(OR(F25="",NOT(ISNUMBER(IF(H25&lt;&gt;"",H25,IFERROR(VLOOKUP(C25,'Périodicités'!$A:$C,3,FALSE),""))))),"",EDATE(F25,IF(H25&lt;&gt;"",H25,IFERROR(VLOOKUP(C25,'Périodicités'!$A:$C,3,FALSE),""))))</f>
      </c>
      <c r="J25" s="9">
        <f>IF(I25="","",I25-TODAY())</f>
      </c>
      <c r="K25" s="7">
        <f>IF(B25&amp;C25="","",IF(F25="","Date à saisir",IF(I25="","Périodicité à confirmer",IF(J25&lt;0,"En retard",IF(J25&lt;=30,"À planifier","À jour")))))</f>
      </c>
      <c r="L25" s="5"/>
      <c r="M25" s="5"/>
      <c r="N25" s="5"/>
      <c r="O25" s="10"/>
    </row>
    <row r="26" spans="1:15" x14ac:dyDescent="0.25">
      <c r="A26" s="5">
        <v>22</v>
      </c>
      <c r="B26" s="5"/>
      <c r="C26" s="5"/>
      <c r="D26" s="5"/>
      <c r="E26" s="5"/>
      <c r="F26" s="6"/>
      <c r="G26" s="7">
        <f>IF(C26="","",IFERROR(VLOOKUP(C26,'Périodicités'!$A:$B,2,FALSE),""))</f>
      </c>
      <c r="H26" s="5"/>
      <c r="I26" s="8">
        <f>IF(OR(F26="",NOT(ISNUMBER(IF(H26&lt;&gt;"",H26,IFERROR(VLOOKUP(C26,'Périodicités'!$A:$C,3,FALSE),""))))),"",EDATE(F26,IF(H26&lt;&gt;"",H26,IFERROR(VLOOKUP(C26,'Périodicités'!$A:$C,3,FALSE),""))))</f>
      </c>
      <c r="J26" s="9">
        <f>IF(I26="","",I26-TODAY())</f>
      </c>
      <c r="K26" s="7">
        <f>IF(B26&amp;C26="","",IF(F26="","Date à saisir",IF(I26="","Périodicité à confirmer",IF(J26&lt;0,"En retard",IF(J26&lt;=30,"À planifier","À jour")))))</f>
      </c>
      <c r="L26" s="5"/>
      <c r="M26" s="5"/>
      <c r="N26" s="5"/>
      <c r="O26" s="10"/>
    </row>
    <row r="27" spans="1:15" x14ac:dyDescent="0.25">
      <c r="A27" s="5">
        <v>23</v>
      </c>
      <c r="B27" s="5"/>
      <c r="C27" s="5"/>
      <c r="D27" s="5"/>
      <c r="E27" s="5"/>
      <c r="F27" s="6"/>
      <c r="G27" s="7">
        <f>IF(C27="","",IFERROR(VLOOKUP(C27,'Périodicités'!$A:$B,2,FALSE),""))</f>
      </c>
      <c r="H27" s="5"/>
      <c r="I27" s="8">
        <f>IF(OR(F27="",NOT(ISNUMBER(IF(H27&lt;&gt;"",H27,IFERROR(VLOOKUP(C27,'Périodicités'!$A:$C,3,FALSE),""))))),"",EDATE(F27,IF(H27&lt;&gt;"",H27,IFERROR(VLOOKUP(C27,'Périodicités'!$A:$C,3,FALSE),""))))</f>
      </c>
      <c r="J27" s="9">
        <f>IF(I27="","",I27-TODAY())</f>
      </c>
      <c r="K27" s="7">
        <f>IF(B27&amp;C27="","",IF(F27="","Date à saisir",IF(I27="","Périodicité à confirmer",IF(J27&lt;0,"En retard",IF(J27&lt;=30,"À planifier","À jour")))))</f>
      </c>
      <c r="L27" s="5"/>
      <c r="M27" s="5"/>
      <c r="N27" s="5"/>
      <c r="O27" s="10"/>
    </row>
    <row r="28" spans="1:15" x14ac:dyDescent="0.25">
      <c r="A28" s="5">
        <v>24</v>
      </c>
      <c r="B28" s="5"/>
      <c r="C28" s="5"/>
      <c r="D28" s="5"/>
      <c r="E28" s="5"/>
      <c r="F28" s="6"/>
      <c r="G28" s="7">
        <f>IF(C28="","",IFERROR(VLOOKUP(C28,'Périodicités'!$A:$B,2,FALSE),""))</f>
      </c>
      <c r="H28" s="5"/>
      <c r="I28" s="8">
        <f>IF(OR(F28="",NOT(ISNUMBER(IF(H28&lt;&gt;"",H28,IFERROR(VLOOKUP(C28,'Périodicités'!$A:$C,3,FALSE),""))))),"",EDATE(F28,IF(H28&lt;&gt;"",H28,IFERROR(VLOOKUP(C28,'Périodicités'!$A:$C,3,FALSE),""))))</f>
      </c>
      <c r="J28" s="9">
        <f>IF(I28="","",I28-TODAY())</f>
      </c>
      <c r="K28" s="7">
        <f>IF(B28&amp;C28="","",IF(F28="","Date à saisir",IF(I28="","Périodicité à confirmer",IF(J28&lt;0,"En retard",IF(J28&lt;=30,"À planifier","À jour")))))</f>
      </c>
      <c r="L28" s="5"/>
      <c r="M28" s="5"/>
      <c r="N28" s="5"/>
      <c r="O28" s="10"/>
    </row>
    <row r="29" spans="1:15" x14ac:dyDescent="0.25">
      <c r="A29" s="5">
        <v>25</v>
      </c>
      <c r="B29" s="5"/>
      <c r="C29" s="5"/>
      <c r="D29" s="5"/>
      <c r="E29" s="5"/>
      <c r="F29" s="6"/>
      <c r="G29" s="7">
        <f>IF(C29="","",IFERROR(VLOOKUP(C29,'Périodicités'!$A:$B,2,FALSE),""))</f>
      </c>
      <c r="H29" s="5"/>
      <c r="I29" s="8">
        <f>IF(OR(F29="",NOT(ISNUMBER(IF(H29&lt;&gt;"",H29,IFERROR(VLOOKUP(C29,'Périodicités'!$A:$C,3,FALSE),""))))),"",EDATE(F29,IF(H29&lt;&gt;"",H29,IFERROR(VLOOKUP(C29,'Périodicités'!$A:$C,3,FALSE),""))))</f>
      </c>
      <c r="J29" s="9">
        <f>IF(I29="","",I29-TODAY())</f>
      </c>
      <c r="K29" s="7">
        <f>IF(B29&amp;C29="","",IF(F29="","Date à saisir",IF(I29="","Périodicité à confirmer",IF(J29&lt;0,"En retard",IF(J29&lt;=30,"À planifier","À jour")))))</f>
      </c>
      <c r="L29" s="5"/>
      <c r="M29" s="5"/>
      <c r="N29" s="5"/>
      <c r="O29" s="10"/>
    </row>
    <row r="30" spans="1:15" x14ac:dyDescent="0.25">
      <c r="A30" s="5">
        <v>26</v>
      </c>
      <c r="B30" s="5"/>
      <c r="C30" s="5"/>
      <c r="D30" s="5"/>
      <c r="E30" s="5"/>
      <c r="F30" s="6"/>
      <c r="G30" s="7">
        <f>IF(C30="","",IFERROR(VLOOKUP(C30,'Périodicités'!$A:$B,2,FALSE),""))</f>
      </c>
      <c r="H30" s="5"/>
      <c r="I30" s="8">
        <f>IF(OR(F30="",NOT(ISNUMBER(IF(H30&lt;&gt;"",H30,IFERROR(VLOOKUP(C30,'Périodicités'!$A:$C,3,FALSE),""))))),"",EDATE(F30,IF(H30&lt;&gt;"",H30,IFERROR(VLOOKUP(C30,'Périodicités'!$A:$C,3,FALSE),""))))</f>
      </c>
      <c r="J30" s="9">
        <f>IF(I30="","",I30-TODAY())</f>
      </c>
      <c r="K30" s="7">
        <f>IF(B30&amp;C30="","",IF(F30="","Date à saisir",IF(I30="","Périodicité à confirmer",IF(J30&lt;0,"En retard",IF(J30&lt;=30,"À planifier","À jour")))))</f>
      </c>
      <c r="L30" s="5"/>
      <c r="M30" s="5"/>
      <c r="N30" s="5"/>
      <c r="O30" s="10"/>
    </row>
    <row r="31" spans="1:15" x14ac:dyDescent="0.25">
      <c r="A31" s="5">
        <v>27</v>
      </c>
      <c r="B31" s="5"/>
      <c r="C31" s="5"/>
      <c r="D31" s="5"/>
      <c r="E31" s="5"/>
      <c r="F31" s="6"/>
      <c r="G31" s="7">
        <f>IF(C31="","",IFERROR(VLOOKUP(C31,'Périodicités'!$A:$B,2,FALSE),""))</f>
      </c>
      <c r="H31" s="5"/>
      <c r="I31" s="8">
        <f>IF(OR(F31="",NOT(ISNUMBER(IF(H31&lt;&gt;"",H31,IFERROR(VLOOKUP(C31,'Périodicités'!$A:$C,3,FALSE),""))))),"",EDATE(F31,IF(H31&lt;&gt;"",H31,IFERROR(VLOOKUP(C31,'Périodicités'!$A:$C,3,FALSE),""))))</f>
      </c>
      <c r="J31" s="9">
        <f>IF(I31="","",I31-TODAY())</f>
      </c>
      <c r="K31" s="7">
        <f>IF(B31&amp;C31="","",IF(F31="","Date à saisir",IF(I31="","Périodicité à confirmer",IF(J31&lt;0,"En retard",IF(J31&lt;=30,"À planifier","À jour")))))</f>
      </c>
      <c r="L31" s="5"/>
      <c r="M31" s="5"/>
      <c r="N31" s="5"/>
      <c r="O31" s="10"/>
    </row>
    <row r="32" spans="1:15" x14ac:dyDescent="0.25">
      <c r="A32" s="5">
        <v>28</v>
      </c>
      <c r="B32" s="5"/>
      <c r="C32" s="5"/>
      <c r="D32" s="5"/>
      <c r="E32" s="5"/>
      <c r="F32" s="6"/>
      <c r="G32" s="7">
        <f>IF(C32="","",IFERROR(VLOOKUP(C32,'Périodicités'!$A:$B,2,FALSE),""))</f>
      </c>
      <c r="H32" s="5"/>
      <c r="I32" s="8">
        <f>IF(OR(F32="",NOT(ISNUMBER(IF(H32&lt;&gt;"",H32,IFERROR(VLOOKUP(C32,'Périodicités'!$A:$C,3,FALSE),""))))),"",EDATE(F32,IF(H32&lt;&gt;"",H32,IFERROR(VLOOKUP(C32,'Périodicités'!$A:$C,3,FALSE),""))))</f>
      </c>
      <c r="J32" s="9">
        <f>IF(I32="","",I32-TODAY())</f>
      </c>
      <c r="K32" s="7">
        <f>IF(B32&amp;C32="","",IF(F32="","Date à saisir",IF(I32="","Périodicité à confirmer",IF(J32&lt;0,"En retard",IF(J32&lt;=30,"À planifier","À jour")))))</f>
      </c>
      <c r="L32" s="5"/>
      <c r="M32" s="5"/>
      <c r="N32" s="5"/>
      <c r="O32" s="10"/>
    </row>
    <row r="33" spans="1:15" x14ac:dyDescent="0.25">
      <c r="A33" s="5">
        <v>29</v>
      </c>
      <c r="B33" s="5"/>
      <c r="C33" s="5"/>
      <c r="D33" s="5"/>
      <c r="E33" s="5"/>
      <c r="F33" s="6"/>
      <c r="G33" s="7">
        <f>IF(C33="","",IFERROR(VLOOKUP(C33,'Périodicités'!$A:$B,2,FALSE),""))</f>
      </c>
      <c r="H33" s="5"/>
      <c r="I33" s="8">
        <f>IF(OR(F33="",NOT(ISNUMBER(IF(H33&lt;&gt;"",H33,IFERROR(VLOOKUP(C33,'Périodicités'!$A:$C,3,FALSE),""))))),"",EDATE(F33,IF(H33&lt;&gt;"",H33,IFERROR(VLOOKUP(C33,'Périodicités'!$A:$C,3,FALSE),""))))</f>
      </c>
      <c r="J33" s="9">
        <f>IF(I33="","",I33-TODAY())</f>
      </c>
      <c r="K33" s="7">
        <f>IF(B33&amp;C33="","",IF(F33="","Date à saisir",IF(I33="","Périodicité à confirmer",IF(J33&lt;0,"En retard",IF(J33&lt;=30,"À planifier","À jour")))))</f>
      </c>
      <c r="L33" s="5"/>
      <c r="M33" s="5"/>
      <c r="N33" s="5"/>
      <c r="O33" s="10"/>
    </row>
    <row r="34" spans="1:15" x14ac:dyDescent="0.25">
      <c r="A34" s="5">
        <v>30</v>
      </c>
      <c r="B34" s="5"/>
      <c r="C34" s="5"/>
      <c r="D34" s="5"/>
      <c r="E34" s="5"/>
      <c r="F34" s="6"/>
      <c r="G34" s="7">
        <f>IF(C34="","",IFERROR(VLOOKUP(C34,'Périodicités'!$A:$B,2,FALSE),""))</f>
      </c>
      <c r="H34" s="5"/>
      <c r="I34" s="8">
        <f>IF(OR(F34="",NOT(ISNUMBER(IF(H34&lt;&gt;"",H34,IFERROR(VLOOKUP(C34,'Périodicités'!$A:$C,3,FALSE),""))))),"",EDATE(F34,IF(H34&lt;&gt;"",H34,IFERROR(VLOOKUP(C34,'Périodicités'!$A:$C,3,FALSE),""))))</f>
      </c>
      <c r="J34" s="9">
        <f>IF(I34="","",I34-TODAY())</f>
      </c>
      <c r="K34" s="7">
        <f>IF(B34&amp;C34="","",IF(F34="","Date à saisir",IF(I34="","Périodicité à confirmer",IF(J34&lt;0,"En retard",IF(J34&lt;=30,"À planifier","À jour")))))</f>
      </c>
      <c r="L34" s="5"/>
      <c r="M34" s="5"/>
      <c r="N34" s="5"/>
      <c r="O34" s="10"/>
    </row>
    <row r="35" spans="1:15" x14ac:dyDescent="0.25">
      <c r="A35" s="5">
        <v>31</v>
      </c>
      <c r="B35" s="5"/>
      <c r="C35" s="5"/>
      <c r="D35" s="5"/>
      <c r="E35" s="5"/>
      <c r="F35" s="6"/>
      <c r="G35" s="7">
        <f>IF(C35="","",IFERROR(VLOOKUP(C35,'Périodicités'!$A:$B,2,FALSE),""))</f>
      </c>
      <c r="H35" s="5"/>
      <c r="I35" s="8">
        <f>IF(OR(F35="",NOT(ISNUMBER(IF(H35&lt;&gt;"",H35,IFERROR(VLOOKUP(C35,'Périodicités'!$A:$C,3,FALSE),""))))),"",EDATE(F35,IF(H35&lt;&gt;"",H35,IFERROR(VLOOKUP(C35,'Périodicités'!$A:$C,3,FALSE),""))))</f>
      </c>
      <c r="J35" s="9">
        <f>IF(I35="","",I35-TODAY())</f>
      </c>
      <c r="K35" s="7">
        <f>IF(B35&amp;C35="","",IF(F35="","Date à saisir",IF(I35="","Périodicité à confirmer",IF(J35&lt;0,"En retard",IF(J35&lt;=30,"À planifier","À jour")))))</f>
      </c>
      <c r="L35" s="5"/>
      <c r="M35" s="5"/>
      <c r="N35" s="5"/>
      <c r="O35" s="10"/>
    </row>
    <row r="36" spans="1:15" x14ac:dyDescent="0.25">
      <c r="A36" s="5">
        <v>32</v>
      </c>
      <c r="B36" s="5"/>
      <c r="C36" s="5"/>
      <c r="D36" s="5"/>
      <c r="E36" s="5"/>
      <c r="F36" s="6"/>
      <c r="G36" s="7">
        <f>IF(C36="","",IFERROR(VLOOKUP(C36,'Périodicités'!$A:$B,2,FALSE),""))</f>
      </c>
      <c r="H36" s="5"/>
      <c r="I36" s="8">
        <f>IF(OR(F36="",NOT(ISNUMBER(IF(H36&lt;&gt;"",H36,IFERROR(VLOOKUP(C36,'Périodicités'!$A:$C,3,FALSE),""))))),"",EDATE(F36,IF(H36&lt;&gt;"",H36,IFERROR(VLOOKUP(C36,'Périodicités'!$A:$C,3,FALSE),""))))</f>
      </c>
      <c r="J36" s="9">
        <f>IF(I36="","",I36-TODAY())</f>
      </c>
      <c r="K36" s="7">
        <f>IF(B36&amp;C36="","",IF(F36="","Date à saisir",IF(I36="","Périodicité à confirmer",IF(J36&lt;0,"En retard",IF(J36&lt;=30,"À planifier","À jour")))))</f>
      </c>
      <c r="L36" s="5"/>
      <c r="M36" s="5"/>
      <c r="N36" s="5"/>
      <c r="O36" s="10"/>
    </row>
    <row r="37" spans="1:15" x14ac:dyDescent="0.25">
      <c r="A37" s="5">
        <v>33</v>
      </c>
      <c r="B37" s="5"/>
      <c r="C37" s="5"/>
      <c r="D37" s="5"/>
      <c r="E37" s="5"/>
      <c r="F37" s="6"/>
      <c r="G37" s="7">
        <f>IF(C37="","",IFERROR(VLOOKUP(C37,'Périodicités'!$A:$B,2,FALSE),""))</f>
      </c>
      <c r="H37" s="5"/>
      <c r="I37" s="8">
        <f>IF(OR(F37="",NOT(ISNUMBER(IF(H37&lt;&gt;"",H37,IFERROR(VLOOKUP(C37,'Périodicités'!$A:$C,3,FALSE),""))))),"",EDATE(F37,IF(H37&lt;&gt;"",H37,IFERROR(VLOOKUP(C37,'Périodicités'!$A:$C,3,FALSE),""))))</f>
      </c>
      <c r="J37" s="9">
        <f>IF(I37="","",I37-TODAY())</f>
      </c>
      <c r="K37" s="7">
        <f>IF(B37&amp;C37="","",IF(F37="","Date à saisir",IF(I37="","Périodicité à confirmer",IF(J37&lt;0,"En retard",IF(J37&lt;=30,"À planifier","À jour")))))</f>
      </c>
      <c r="L37" s="5"/>
      <c r="M37" s="5"/>
      <c r="N37" s="5"/>
      <c r="O37" s="10"/>
    </row>
    <row r="38" spans="1:15" x14ac:dyDescent="0.25">
      <c r="A38" s="5">
        <v>34</v>
      </c>
      <c r="B38" s="5"/>
      <c r="C38" s="5"/>
      <c r="D38" s="5"/>
      <c r="E38" s="5"/>
      <c r="F38" s="6"/>
      <c r="G38" s="7">
        <f>IF(C38="","",IFERROR(VLOOKUP(C38,'Périodicités'!$A:$B,2,FALSE),""))</f>
      </c>
      <c r="H38" s="5"/>
      <c r="I38" s="8">
        <f>IF(OR(F38="",NOT(ISNUMBER(IF(H38&lt;&gt;"",H38,IFERROR(VLOOKUP(C38,'Périodicités'!$A:$C,3,FALSE),""))))),"",EDATE(F38,IF(H38&lt;&gt;"",H38,IFERROR(VLOOKUP(C38,'Périodicités'!$A:$C,3,FALSE),""))))</f>
      </c>
      <c r="J38" s="9">
        <f>IF(I38="","",I38-TODAY())</f>
      </c>
      <c r="K38" s="7">
        <f>IF(B38&amp;C38="","",IF(F38="","Date à saisir",IF(I38="","Périodicité à confirmer",IF(J38&lt;0,"En retard",IF(J38&lt;=30,"À planifier","À jour")))))</f>
      </c>
      <c r="L38" s="5"/>
      <c r="M38" s="5"/>
      <c r="N38" s="5"/>
      <c r="O38" s="10"/>
    </row>
    <row r="39" spans="1:15" x14ac:dyDescent="0.25">
      <c r="A39" s="5">
        <v>35</v>
      </c>
      <c r="B39" s="5"/>
      <c r="C39" s="5"/>
      <c r="D39" s="5"/>
      <c r="E39" s="5"/>
      <c r="F39" s="6"/>
      <c r="G39" s="7">
        <f>IF(C39="","",IFERROR(VLOOKUP(C39,'Périodicités'!$A:$B,2,FALSE),""))</f>
      </c>
      <c r="H39" s="5"/>
      <c r="I39" s="8">
        <f>IF(OR(F39="",NOT(ISNUMBER(IF(H39&lt;&gt;"",H39,IFERROR(VLOOKUP(C39,'Périodicités'!$A:$C,3,FALSE),""))))),"",EDATE(F39,IF(H39&lt;&gt;"",H39,IFERROR(VLOOKUP(C39,'Périodicités'!$A:$C,3,FALSE),""))))</f>
      </c>
      <c r="J39" s="9">
        <f>IF(I39="","",I39-TODAY())</f>
      </c>
      <c r="K39" s="7">
        <f>IF(B39&amp;C39="","",IF(F39="","Date à saisir",IF(I39="","Périodicité à confirmer",IF(J39&lt;0,"En retard",IF(J39&lt;=30,"À planifier","À jour")))))</f>
      </c>
      <c r="L39" s="5"/>
      <c r="M39" s="5"/>
      <c r="N39" s="5"/>
      <c r="O39" s="10"/>
    </row>
    <row r="40" spans="1:15" x14ac:dyDescent="0.25">
      <c r="A40" s="5">
        <v>36</v>
      </c>
      <c r="B40" s="5"/>
      <c r="C40" s="5"/>
      <c r="D40" s="5"/>
      <c r="E40" s="5"/>
      <c r="F40" s="6"/>
      <c r="G40" s="7">
        <f>IF(C40="","",IFERROR(VLOOKUP(C40,'Périodicités'!$A:$B,2,FALSE),""))</f>
      </c>
      <c r="H40" s="5"/>
      <c r="I40" s="8">
        <f>IF(OR(F40="",NOT(ISNUMBER(IF(H40&lt;&gt;"",H40,IFERROR(VLOOKUP(C40,'Périodicités'!$A:$C,3,FALSE),""))))),"",EDATE(F40,IF(H40&lt;&gt;"",H40,IFERROR(VLOOKUP(C40,'Périodicités'!$A:$C,3,FALSE),""))))</f>
      </c>
      <c r="J40" s="9">
        <f>IF(I40="","",I40-TODAY())</f>
      </c>
      <c r="K40" s="7">
        <f>IF(B40&amp;C40="","",IF(F40="","Date à saisir",IF(I40="","Périodicité à confirmer",IF(J40&lt;0,"En retard",IF(J40&lt;=30,"À planifier","À jour")))))</f>
      </c>
      <c r="L40" s="5"/>
      <c r="M40" s="5"/>
      <c r="N40" s="5"/>
      <c r="O40" s="10"/>
    </row>
    <row r="41" spans="1:15" x14ac:dyDescent="0.25">
      <c r="A41" s="5">
        <v>37</v>
      </c>
      <c r="B41" s="5"/>
      <c r="C41" s="5"/>
      <c r="D41" s="5"/>
      <c r="E41" s="5"/>
      <c r="F41" s="6"/>
      <c r="G41" s="7">
        <f>IF(C41="","",IFERROR(VLOOKUP(C41,'Périodicités'!$A:$B,2,FALSE),""))</f>
      </c>
      <c r="H41" s="5"/>
      <c r="I41" s="8">
        <f>IF(OR(F41="",NOT(ISNUMBER(IF(H41&lt;&gt;"",H41,IFERROR(VLOOKUP(C41,'Périodicités'!$A:$C,3,FALSE),""))))),"",EDATE(F41,IF(H41&lt;&gt;"",H41,IFERROR(VLOOKUP(C41,'Périodicités'!$A:$C,3,FALSE),""))))</f>
      </c>
      <c r="J41" s="9">
        <f>IF(I41="","",I41-TODAY())</f>
      </c>
      <c r="K41" s="7">
        <f>IF(B41&amp;C41="","",IF(F41="","Date à saisir",IF(I41="","Périodicité à confirmer",IF(J41&lt;0,"En retard",IF(J41&lt;=30,"À planifier","À jour")))))</f>
      </c>
      <c r="L41" s="5"/>
      <c r="M41" s="5"/>
      <c r="N41" s="5"/>
      <c r="O41" s="10"/>
    </row>
    <row r="42" spans="1:15" x14ac:dyDescent="0.25">
      <c r="A42" s="5">
        <v>38</v>
      </c>
      <c r="B42" s="5"/>
      <c r="C42" s="5"/>
      <c r="D42" s="5"/>
      <c r="E42" s="5"/>
      <c r="F42" s="6"/>
      <c r="G42" s="7">
        <f>IF(C42="","",IFERROR(VLOOKUP(C42,'Périodicités'!$A:$B,2,FALSE),""))</f>
      </c>
      <c r="H42" s="5"/>
      <c r="I42" s="8">
        <f>IF(OR(F42="",NOT(ISNUMBER(IF(H42&lt;&gt;"",H42,IFERROR(VLOOKUP(C42,'Périodicités'!$A:$C,3,FALSE),""))))),"",EDATE(F42,IF(H42&lt;&gt;"",H42,IFERROR(VLOOKUP(C42,'Périodicités'!$A:$C,3,FALSE),""))))</f>
      </c>
      <c r="J42" s="9">
        <f>IF(I42="","",I42-TODAY())</f>
      </c>
      <c r="K42" s="7">
        <f>IF(B42&amp;C42="","",IF(F42="","Date à saisir",IF(I42="","Périodicité à confirmer",IF(J42&lt;0,"En retard",IF(J42&lt;=30,"À planifier","À jour")))))</f>
      </c>
      <c r="L42" s="5"/>
      <c r="M42" s="5"/>
      <c r="N42" s="5"/>
      <c r="O42" s="10"/>
    </row>
    <row r="43" spans="1:15" x14ac:dyDescent="0.25">
      <c r="A43" s="5">
        <v>39</v>
      </c>
      <c r="B43" s="5"/>
      <c r="C43" s="5"/>
      <c r="D43" s="5"/>
      <c r="E43" s="5"/>
      <c r="F43" s="6"/>
      <c r="G43" s="7">
        <f>IF(C43="","",IFERROR(VLOOKUP(C43,'Périodicités'!$A:$B,2,FALSE),""))</f>
      </c>
      <c r="H43" s="5"/>
      <c r="I43" s="8">
        <f>IF(OR(F43="",NOT(ISNUMBER(IF(H43&lt;&gt;"",H43,IFERROR(VLOOKUP(C43,'Périodicités'!$A:$C,3,FALSE),""))))),"",EDATE(F43,IF(H43&lt;&gt;"",H43,IFERROR(VLOOKUP(C43,'Périodicités'!$A:$C,3,FALSE),""))))</f>
      </c>
      <c r="J43" s="9">
        <f>IF(I43="","",I43-TODAY())</f>
      </c>
      <c r="K43" s="7">
        <f>IF(B43&amp;C43="","",IF(F43="","Date à saisir",IF(I43="","Périodicité à confirmer",IF(J43&lt;0,"En retard",IF(J43&lt;=30,"À planifier","À jour")))))</f>
      </c>
      <c r="L43" s="5"/>
      <c r="M43" s="5"/>
      <c r="N43" s="5"/>
      <c r="O43" s="10"/>
    </row>
    <row r="44" spans="1:15" x14ac:dyDescent="0.25">
      <c r="A44" s="5">
        <v>40</v>
      </c>
      <c r="B44" s="5"/>
      <c r="C44" s="5"/>
      <c r="D44" s="5"/>
      <c r="E44" s="5"/>
      <c r="F44" s="6"/>
      <c r="G44" s="7">
        <f>IF(C44="","",IFERROR(VLOOKUP(C44,'Périodicités'!$A:$B,2,FALSE),""))</f>
      </c>
      <c r="H44" s="5"/>
      <c r="I44" s="8">
        <f>IF(OR(F44="",NOT(ISNUMBER(IF(H44&lt;&gt;"",H44,IFERROR(VLOOKUP(C44,'Périodicités'!$A:$C,3,FALSE),""))))),"",EDATE(F44,IF(H44&lt;&gt;"",H44,IFERROR(VLOOKUP(C44,'Périodicités'!$A:$C,3,FALSE),""))))</f>
      </c>
      <c r="J44" s="9">
        <f>IF(I44="","",I44-TODAY())</f>
      </c>
      <c r="K44" s="7">
        <f>IF(B44&amp;C44="","",IF(F44="","Date à saisir",IF(I44="","Périodicité à confirmer",IF(J44&lt;0,"En retard",IF(J44&lt;=30,"À planifier","À jour")))))</f>
      </c>
      <c r="L44" s="5"/>
      <c r="M44" s="5"/>
      <c r="N44" s="5"/>
      <c r="O44" s="10"/>
    </row>
    <row r="45" spans="1:15" x14ac:dyDescent="0.25">
      <c r="A45" s="5">
        <v>41</v>
      </c>
      <c r="B45" s="5"/>
      <c r="C45" s="5"/>
      <c r="D45" s="5"/>
      <c r="E45" s="5"/>
      <c r="F45" s="6"/>
      <c r="G45" s="7">
        <f>IF(C45="","",IFERROR(VLOOKUP(C45,'Périodicités'!$A:$B,2,FALSE),""))</f>
      </c>
      <c r="H45" s="5"/>
      <c r="I45" s="8">
        <f>IF(OR(F45="",NOT(ISNUMBER(IF(H45&lt;&gt;"",H45,IFERROR(VLOOKUP(C45,'Périodicités'!$A:$C,3,FALSE),""))))),"",EDATE(F45,IF(H45&lt;&gt;"",H45,IFERROR(VLOOKUP(C45,'Périodicités'!$A:$C,3,FALSE),""))))</f>
      </c>
      <c r="J45" s="9">
        <f>IF(I45="","",I45-TODAY())</f>
      </c>
      <c r="K45" s="7">
        <f>IF(B45&amp;C45="","",IF(F45="","Date à saisir",IF(I45="","Périodicité à confirmer",IF(J45&lt;0,"En retard",IF(J45&lt;=30,"À planifier","À jour")))))</f>
      </c>
      <c r="L45" s="5"/>
      <c r="M45" s="5"/>
      <c r="N45" s="5"/>
      <c r="O45" s="10"/>
    </row>
    <row r="46" spans="1:15" x14ac:dyDescent="0.25">
      <c r="A46" s="5">
        <v>42</v>
      </c>
      <c r="B46" s="5"/>
      <c r="C46" s="5"/>
      <c r="D46" s="5"/>
      <c r="E46" s="5"/>
      <c r="F46" s="6"/>
      <c r="G46" s="7">
        <f>IF(C46="","",IFERROR(VLOOKUP(C46,'Périodicités'!$A:$B,2,FALSE),""))</f>
      </c>
      <c r="H46" s="5"/>
      <c r="I46" s="8">
        <f>IF(OR(F46="",NOT(ISNUMBER(IF(H46&lt;&gt;"",H46,IFERROR(VLOOKUP(C46,'Périodicités'!$A:$C,3,FALSE),""))))),"",EDATE(F46,IF(H46&lt;&gt;"",H46,IFERROR(VLOOKUP(C46,'Périodicités'!$A:$C,3,FALSE),""))))</f>
      </c>
      <c r="J46" s="9">
        <f>IF(I46="","",I46-TODAY())</f>
      </c>
      <c r="K46" s="7">
        <f>IF(B46&amp;C46="","",IF(F46="","Date à saisir",IF(I46="","Périodicité à confirmer",IF(J46&lt;0,"En retard",IF(J46&lt;=30,"À planifier","À jour")))))</f>
      </c>
      <c r="L46" s="5"/>
      <c r="M46" s="5"/>
      <c r="N46" s="5"/>
      <c r="O46" s="10"/>
    </row>
    <row r="47" spans="1:15" x14ac:dyDescent="0.25">
      <c r="A47" s="5">
        <v>43</v>
      </c>
      <c r="B47" s="5"/>
      <c r="C47" s="5"/>
      <c r="D47" s="5"/>
      <c r="E47" s="5"/>
      <c r="F47" s="6"/>
      <c r="G47" s="7">
        <f>IF(C47="","",IFERROR(VLOOKUP(C47,'Périodicités'!$A:$B,2,FALSE),""))</f>
      </c>
      <c r="H47" s="5"/>
      <c r="I47" s="8">
        <f>IF(OR(F47="",NOT(ISNUMBER(IF(H47&lt;&gt;"",H47,IFERROR(VLOOKUP(C47,'Périodicités'!$A:$C,3,FALSE),""))))),"",EDATE(F47,IF(H47&lt;&gt;"",H47,IFERROR(VLOOKUP(C47,'Périodicités'!$A:$C,3,FALSE),""))))</f>
      </c>
      <c r="J47" s="9">
        <f>IF(I47="","",I47-TODAY())</f>
      </c>
      <c r="K47" s="7">
        <f>IF(B47&amp;C47="","",IF(F47="","Date à saisir",IF(I47="","Périodicité à confirmer",IF(J47&lt;0,"En retard",IF(J47&lt;=30,"À planifier","À jour")))))</f>
      </c>
      <c r="L47" s="5"/>
      <c r="M47" s="5"/>
      <c r="N47" s="5"/>
      <c r="O47" s="10"/>
    </row>
    <row r="48" spans="1:15" x14ac:dyDescent="0.25">
      <c r="A48" s="5">
        <v>44</v>
      </c>
      <c r="B48" s="5"/>
      <c r="C48" s="5"/>
      <c r="D48" s="5"/>
      <c r="E48" s="5"/>
      <c r="F48" s="6"/>
      <c r="G48" s="7">
        <f>IF(C48="","",IFERROR(VLOOKUP(C48,'Périodicités'!$A:$B,2,FALSE),""))</f>
      </c>
      <c r="H48" s="5"/>
      <c r="I48" s="8">
        <f>IF(OR(F48="",NOT(ISNUMBER(IF(H48&lt;&gt;"",H48,IFERROR(VLOOKUP(C48,'Périodicités'!$A:$C,3,FALSE),""))))),"",EDATE(F48,IF(H48&lt;&gt;"",H48,IFERROR(VLOOKUP(C48,'Périodicités'!$A:$C,3,FALSE),""))))</f>
      </c>
      <c r="J48" s="9">
        <f>IF(I48="","",I48-TODAY())</f>
      </c>
      <c r="K48" s="7">
        <f>IF(B48&amp;C48="","",IF(F48="","Date à saisir",IF(I48="","Périodicité à confirmer",IF(J48&lt;0,"En retard",IF(J48&lt;=30,"À planifier","À jour")))))</f>
      </c>
      <c r="L48" s="5"/>
      <c r="M48" s="5"/>
      <c r="N48" s="5"/>
      <c r="O48" s="10"/>
    </row>
    <row r="49" spans="1:15" x14ac:dyDescent="0.25">
      <c r="A49" s="5">
        <v>45</v>
      </c>
      <c r="B49" s="5"/>
      <c r="C49" s="5"/>
      <c r="D49" s="5"/>
      <c r="E49" s="5"/>
      <c r="F49" s="6"/>
      <c r="G49" s="7">
        <f>IF(C49="","",IFERROR(VLOOKUP(C49,'Périodicités'!$A:$B,2,FALSE),""))</f>
      </c>
      <c r="H49" s="5"/>
      <c r="I49" s="8">
        <f>IF(OR(F49="",NOT(ISNUMBER(IF(H49&lt;&gt;"",H49,IFERROR(VLOOKUP(C49,'Périodicités'!$A:$C,3,FALSE),""))))),"",EDATE(F49,IF(H49&lt;&gt;"",H49,IFERROR(VLOOKUP(C49,'Périodicités'!$A:$C,3,FALSE),""))))</f>
      </c>
      <c r="J49" s="9">
        <f>IF(I49="","",I49-TODAY())</f>
      </c>
      <c r="K49" s="7">
        <f>IF(B49&amp;C49="","",IF(F49="","Date à saisir",IF(I49="","Périodicité à confirmer",IF(J49&lt;0,"En retard",IF(J49&lt;=30,"À planifier","À jour")))))</f>
      </c>
      <c r="L49" s="5"/>
      <c r="M49" s="5"/>
      <c r="N49" s="5"/>
      <c r="O49" s="10"/>
    </row>
    <row r="50" spans="1:15" x14ac:dyDescent="0.25">
      <c r="A50" s="5">
        <v>46</v>
      </c>
      <c r="B50" s="5"/>
      <c r="C50" s="5"/>
      <c r="D50" s="5"/>
      <c r="E50" s="5"/>
      <c r="F50" s="6"/>
      <c r="G50" s="7">
        <f>IF(C50="","",IFERROR(VLOOKUP(C50,'Périodicités'!$A:$B,2,FALSE),""))</f>
      </c>
      <c r="H50" s="5"/>
      <c r="I50" s="8">
        <f>IF(OR(F50="",NOT(ISNUMBER(IF(H50&lt;&gt;"",H50,IFERROR(VLOOKUP(C50,'Périodicités'!$A:$C,3,FALSE),""))))),"",EDATE(F50,IF(H50&lt;&gt;"",H50,IFERROR(VLOOKUP(C50,'Périodicités'!$A:$C,3,FALSE),""))))</f>
      </c>
      <c r="J50" s="9">
        <f>IF(I50="","",I50-TODAY())</f>
      </c>
      <c r="K50" s="7">
        <f>IF(B50&amp;C50="","",IF(F50="","Date à saisir",IF(I50="","Périodicité à confirmer",IF(J50&lt;0,"En retard",IF(J50&lt;=30,"À planifier","À jour")))))</f>
      </c>
      <c r="L50" s="5"/>
      <c r="M50" s="5"/>
      <c r="N50" s="5"/>
      <c r="O50" s="10"/>
    </row>
    <row r="51" spans="1:15" x14ac:dyDescent="0.25">
      <c r="A51" s="5">
        <v>47</v>
      </c>
      <c r="B51" s="5"/>
      <c r="C51" s="5"/>
      <c r="D51" s="5"/>
      <c r="E51" s="5"/>
      <c r="F51" s="6"/>
      <c r="G51" s="7">
        <f>IF(C51="","",IFERROR(VLOOKUP(C51,'Périodicités'!$A:$B,2,FALSE),""))</f>
      </c>
      <c r="H51" s="5"/>
      <c r="I51" s="8">
        <f>IF(OR(F51="",NOT(ISNUMBER(IF(H51&lt;&gt;"",H51,IFERROR(VLOOKUP(C51,'Périodicités'!$A:$C,3,FALSE),""))))),"",EDATE(F51,IF(H51&lt;&gt;"",H51,IFERROR(VLOOKUP(C51,'Périodicités'!$A:$C,3,FALSE),""))))</f>
      </c>
      <c r="J51" s="9">
        <f>IF(I51="","",I51-TODAY())</f>
      </c>
      <c r="K51" s="7">
        <f>IF(B51&amp;C51="","",IF(F51="","Date à saisir",IF(I51="","Périodicité à confirmer",IF(J51&lt;0,"En retard",IF(J51&lt;=30,"À planifier","À jour")))))</f>
      </c>
      <c r="L51" s="5"/>
      <c r="M51" s="5"/>
      <c r="N51" s="5"/>
      <c r="O51" s="10"/>
    </row>
    <row r="52" spans="1:15" x14ac:dyDescent="0.25">
      <c r="A52" s="5">
        <v>48</v>
      </c>
      <c r="B52" s="5"/>
      <c r="C52" s="5"/>
      <c r="D52" s="5"/>
      <c r="E52" s="5"/>
      <c r="F52" s="6"/>
      <c r="G52" s="7">
        <f>IF(C52="","",IFERROR(VLOOKUP(C52,'Périodicités'!$A:$B,2,FALSE),""))</f>
      </c>
      <c r="H52" s="5"/>
      <c r="I52" s="8">
        <f>IF(OR(F52="",NOT(ISNUMBER(IF(H52&lt;&gt;"",H52,IFERROR(VLOOKUP(C52,'Périodicités'!$A:$C,3,FALSE),""))))),"",EDATE(F52,IF(H52&lt;&gt;"",H52,IFERROR(VLOOKUP(C52,'Périodicités'!$A:$C,3,FALSE),""))))</f>
      </c>
      <c r="J52" s="9">
        <f>IF(I52="","",I52-TODAY())</f>
      </c>
      <c r="K52" s="7">
        <f>IF(B52&amp;C52="","",IF(F52="","Date à saisir",IF(I52="","Périodicité à confirmer",IF(J52&lt;0,"En retard",IF(J52&lt;=30,"À planifier","À jour")))))</f>
      </c>
      <c r="L52" s="5"/>
      <c r="M52" s="5"/>
      <c r="N52" s="5"/>
      <c r="O52" s="10"/>
    </row>
    <row r="53" spans="1:15" x14ac:dyDescent="0.25">
      <c r="A53" s="5">
        <v>49</v>
      </c>
      <c r="B53" s="5"/>
      <c r="C53" s="5"/>
      <c r="D53" s="5"/>
      <c r="E53" s="5"/>
      <c r="F53" s="6"/>
      <c r="G53" s="7">
        <f>IF(C53="","",IFERROR(VLOOKUP(C53,'Périodicités'!$A:$B,2,FALSE),""))</f>
      </c>
      <c r="H53" s="5"/>
      <c r="I53" s="8">
        <f>IF(OR(F53="",NOT(ISNUMBER(IF(H53&lt;&gt;"",H53,IFERROR(VLOOKUP(C53,'Périodicités'!$A:$C,3,FALSE),""))))),"",EDATE(F53,IF(H53&lt;&gt;"",H53,IFERROR(VLOOKUP(C53,'Périodicités'!$A:$C,3,FALSE),""))))</f>
      </c>
      <c r="J53" s="9">
        <f>IF(I53="","",I53-TODAY())</f>
      </c>
      <c r="K53" s="7">
        <f>IF(B53&amp;C53="","",IF(F53="","Date à saisir",IF(I53="","Périodicité à confirmer",IF(J53&lt;0,"En retard",IF(J53&lt;=30,"À planifier","À jour")))))</f>
      </c>
      <c r="L53" s="5"/>
      <c r="M53" s="5"/>
      <c r="N53" s="5"/>
      <c r="O53" s="10"/>
    </row>
    <row r="54" spans="1:15" x14ac:dyDescent="0.25">
      <c r="A54" s="5">
        <v>50</v>
      </c>
      <c r="B54" s="5"/>
      <c r="C54" s="5"/>
      <c r="D54" s="5"/>
      <c r="E54" s="5"/>
      <c r="F54" s="6"/>
      <c r="G54" s="7">
        <f>IF(C54="","",IFERROR(VLOOKUP(C54,'Périodicités'!$A:$B,2,FALSE),""))</f>
      </c>
      <c r="H54" s="5"/>
      <c r="I54" s="8">
        <f>IF(OR(F54="",NOT(ISNUMBER(IF(H54&lt;&gt;"",H54,IFERROR(VLOOKUP(C54,'Périodicités'!$A:$C,3,FALSE),""))))),"",EDATE(F54,IF(H54&lt;&gt;"",H54,IFERROR(VLOOKUP(C54,'Périodicités'!$A:$C,3,FALSE),""))))</f>
      </c>
      <c r="J54" s="9">
        <f>IF(I54="","",I54-TODAY())</f>
      </c>
      <c r="K54" s="7">
        <f>IF(B54&amp;C54="","",IF(F54="","Date à saisir",IF(I54="","Périodicité à confirmer",IF(J54&lt;0,"En retard",IF(J54&lt;=30,"À planifier","À jour")))))</f>
      </c>
      <c r="L54" s="5"/>
      <c r="M54" s="5"/>
      <c r="N54" s="5"/>
      <c r="O54" s="10"/>
    </row>
    <row r="55" spans="1:15" x14ac:dyDescent="0.25">
      <c r="A55" s="5">
        <v>51</v>
      </c>
      <c r="B55" s="5"/>
      <c r="C55" s="5"/>
      <c r="D55" s="5"/>
      <c r="E55" s="5"/>
      <c r="F55" s="6"/>
      <c r="G55" s="7">
        <f>IF(C55="","",IFERROR(VLOOKUP(C55,'Périodicités'!$A:$B,2,FALSE),""))</f>
      </c>
      <c r="H55" s="5"/>
      <c r="I55" s="8">
        <f>IF(OR(F55="",NOT(ISNUMBER(IF(H55&lt;&gt;"",H55,IFERROR(VLOOKUP(C55,'Périodicités'!$A:$C,3,FALSE),""))))),"",EDATE(F55,IF(H55&lt;&gt;"",H55,IFERROR(VLOOKUP(C55,'Périodicités'!$A:$C,3,FALSE),""))))</f>
      </c>
      <c r="J55" s="9">
        <f>IF(I55="","",I55-TODAY())</f>
      </c>
      <c r="K55" s="7">
        <f>IF(B55&amp;C55="","",IF(F55="","Date à saisir",IF(I55="","Périodicité à confirmer",IF(J55&lt;0,"En retard",IF(J55&lt;=30,"À planifier","À jour")))))</f>
      </c>
      <c r="L55" s="5"/>
      <c r="M55" s="5"/>
      <c r="N55" s="5"/>
      <c r="O55" s="10"/>
    </row>
    <row r="56" spans="1:15" x14ac:dyDescent="0.25">
      <c r="A56" s="5">
        <v>52</v>
      </c>
      <c r="B56" s="5"/>
      <c r="C56" s="5"/>
      <c r="D56" s="5"/>
      <c r="E56" s="5"/>
      <c r="F56" s="6"/>
      <c r="G56" s="7">
        <f>IF(C56="","",IFERROR(VLOOKUP(C56,'Périodicités'!$A:$B,2,FALSE),""))</f>
      </c>
      <c r="H56" s="5"/>
      <c r="I56" s="8">
        <f>IF(OR(F56="",NOT(ISNUMBER(IF(H56&lt;&gt;"",H56,IFERROR(VLOOKUP(C56,'Périodicités'!$A:$C,3,FALSE),""))))),"",EDATE(F56,IF(H56&lt;&gt;"",H56,IFERROR(VLOOKUP(C56,'Périodicités'!$A:$C,3,FALSE),""))))</f>
      </c>
      <c r="J56" s="9">
        <f>IF(I56="","",I56-TODAY())</f>
      </c>
      <c r="K56" s="7">
        <f>IF(B56&amp;C56="","",IF(F56="","Date à saisir",IF(I56="","Périodicité à confirmer",IF(J56&lt;0,"En retard",IF(J56&lt;=30,"À planifier","À jour")))))</f>
      </c>
      <c r="L56" s="5"/>
      <c r="M56" s="5"/>
      <c r="N56" s="5"/>
      <c r="O56" s="10"/>
    </row>
    <row r="57" spans="1:15" x14ac:dyDescent="0.25">
      <c r="A57" s="5">
        <v>53</v>
      </c>
      <c r="B57" s="5"/>
      <c r="C57" s="5"/>
      <c r="D57" s="5"/>
      <c r="E57" s="5"/>
      <c r="F57" s="6"/>
      <c r="G57" s="7">
        <f>IF(C57="","",IFERROR(VLOOKUP(C57,'Périodicités'!$A:$B,2,FALSE),""))</f>
      </c>
      <c r="H57" s="5"/>
      <c r="I57" s="8">
        <f>IF(OR(F57="",NOT(ISNUMBER(IF(H57&lt;&gt;"",H57,IFERROR(VLOOKUP(C57,'Périodicités'!$A:$C,3,FALSE),""))))),"",EDATE(F57,IF(H57&lt;&gt;"",H57,IFERROR(VLOOKUP(C57,'Périodicités'!$A:$C,3,FALSE),""))))</f>
      </c>
      <c r="J57" s="9">
        <f>IF(I57="","",I57-TODAY())</f>
      </c>
      <c r="K57" s="7">
        <f>IF(B57&amp;C57="","",IF(F57="","Date à saisir",IF(I57="","Périodicité à confirmer",IF(J57&lt;0,"En retard",IF(J57&lt;=30,"À planifier","À jour")))))</f>
      </c>
      <c r="L57" s="5"/>
      <c r="M57" s="5"/>
      <c r="N57" s="5"/>
      <c r="O57" s="10"/>
    </row>
    <row r="58" spans="1:15" x14ac:dyDescent="0.25">
      <c r="A58" s="5">
        <v>54</v>
      </c>
      <c r="B58" s="5"/>
      <c r="C58" s="5"/>
      <c r="D58" s="5"/>
      <c r="E58" s="5"/>
      <c r="F58" s="6"/>
      <c r="G58" s="7">
        <f>IF(C58="","",IFERROR(VLOOKUP(C58,'Périodicités'!$A:$B,2,FALSE),""))</f>
      </c>
      <c r="H58" s="5"/>
      <c r="I58" s="8">
        <f>IF(OR(F58="",NOT(ISNUMBER(IF(H58&lt;&gt;"",H58,IFERROR(VLOOKUP(C58,'Périodicités'!$A:$C,3,FALSE),""))))),"",EDATE(F58,IF(H58&lt;&gt;"",H58,IFERROR(VLOOKUP(C58,'Périodicités'!$A:$C,3,FALSE),""))))</f>
      </c>
      <c r="J58" s="9">
        <f>IF(I58="","",I58-TODAY())</f>
      </c>
      <c r="K58" s="7">
        <f>IF(B58&amp;C58="","",IF(F58="","Date à saisir",IF(I58="","Périodicité à confirmer",IF(J58&lt;0,"En retard",IF(J58&lt;=30,"À planifier","À jour")))))</f>
      </c>
      <c r="L58" s="5"/>
      <c r="M58" s="5"/>
      <c r="N58" s="5"/>
      <c r="O58" s="10"/>
    </row>
    <row r="59" spans="1:15" x14ac:dyDescent="0.25">
      <c r="A59" s="5">
        <v>55</v>
      </c>
      <c r="B59" s="5"/>
      <c r="C59" s="5"/>
      <c r="D59" s="5"/>
      <c r="E59" s="5"/>
      <c r="F59" s="6"/>
      <c r="G59" s="7">
        <f>IF(C59="","",IFERROR(VLOOKUP(C59,'Périodicités'!$A:$B,2,FALSE),""))</f>
      </c>
      <c r="H59" s="5"/>
      <c r="I59" s="8">
        <f>IF(OR(F59="",NOT(ISNUMBER(IF(H59&lt;&gt;"",H59,IFERROR(VLOOKUP(C59,'Périodicités'!$A:$C,3,FALSE),""))))),"",EDATE(F59,IF(H59&lt;&gt;"",H59,IFERROR(VLOOKUP(C59,'Périodicités'!$A:$C,3,FALSE),""))))</f>
      </c>
      <c r="J59" s="9">
        <f>IF(I59="","",I59-TODAY())</f>
      </c>
      <c r="K59" s="7">
        <f>IF(B59&amp;C59="","",IF(F59="","Date à saisir",IF(I59="","Périodicité à confirmer",IF(J59&lt;0,"En retard",IF(J59&lt;=30,"À planifier","À jour")))))</f>
      </c>
      <c r="L59" s="5"/>
      <c r="M59" s="5"/>
      <c r="N59" s="5"/>
      <c r="O59" s="10"/>
    </row>
    <row r="60" spans="1:15" x14ac:dyDescent="0.25">
      <c r="A60" s="5">
        <v>56</v>
      </c>
      <c r="B60" s="5"/>
      <c r="C60" s="5"/>
      <c r="D60" s="5"/>
      <c r="E60" s="5"/>
      <c r="F60" s="6"/>
      <c r="G60" s="7">
        <f>IF(C60="","",IFERROR(VLOOKUP(C60,'Périodicités'!$A:$B,2,FALSE),""))</f>
      </c>
      <c r="H60" s="5"/>
      <c r="I60" s="8">
        <f>IF(OR(F60="",NOT(ISNUMBER(IF(H60&lt;&gt;"",H60,IFERROR(VLOOKUP(C60,'Périodicités'!$A:$C,3,FALSE),""))))),"",EDATE(F60,IF(H60&lt;&gt;"",H60,IFERROR(VLOOKUP(C60,'Périodicités'!$A:$C,3,FALSE),""))))</f>
      </c>
      <c r="J60" s="9">
        <f>IF(I60="","",I60-TODAY())</f>
      </c>
      <c r="K60" s="7">
        <f>IF(B60&amp;C60="","",IF(F60="","Date à saisir",IF(I60="","Périodicité à confirmer",IF(J60&lt;0,"En retard",IF(J60&lt;=30,"À planifier","À jour")))))</f>
      </c>
      <c r="L60" s="5"/>
      <c r="M60" s="5"/>
      <c r="N60" s="5"/>
      <c r="O60" s="10"/>
    </row>
    <row r="61" spans="1:15" x14ac:dyDescent="0.25">
      <c r="A61" s="5">
        <v>57</v>
      </c>
      <c r="B61" s="5"/>
      <c r="C61" s="5"/>
      <c r="D61" s="5"/>
      <c r="E61" s="5"/>
      <c r="F61" s="6"/>
      <c r="G61" s="7">
        <f>IF(C61="","",IFERROR(VLOOKUP(C61,'Périodicités'!$A:$B,2,FALSE),""))</f>
      </c>
      <c r="H61" s="5"/>
      <c r="I61" s="8">
        <f>IF(OR(F61="",NOT(ISNUMBER(IF(H61&lt;&gt;"",H61,IFERROR(VLOOKUP(C61,'Périodicités'!$A:$C,3,FALSE),""))))),"",EDATE(F61,IF(H61&lt;&gt;"",H61,IFERROR(VLOOKUP(C61,'Périodicités'!$A:$C,3,FALSE),""))))</f>
      </c>
      <c r="J61" s="9">
        <f>IF(I61="","",I61-TODAY())</f>
      </c>
      <c r="K61" s="7">
        <f>IF(B61&amp;C61="","",IF(F61="","Date à saisir",IF(I61="","Périodicité à confirmer",IF(J61&lt;0,"En retard",IF(J61&lt;=30,"À planifier","À jour")))))</f>
      </c>
      <c r="L61" s="5"/>
      <c r="M61" s="5"/>
      <c r="N61" s="5"/>
      <c r="O61" s="10"/>
    </row>
    <row r="62" spans="1:15" x14ac:dyDescent="0.25">
      <c r="A62" s="5">
        <v>58</v>
      </c>
      <c r="B62" s="5"/>
      <c r="C62" s="5"/>
      <c r="D62" s="5"/>
      <c r="E62" s="5"/>
      <c r="F62" s="6"/>
      <c r="G62" s="7">
        <f>IF(C62="","",IFERROR(VLOOKUP(C62,'Périodicités'!$A:$B,2,FALSE),""))</f>
      </c>
      <c r="H62" s="5"/>
      <c r="I62" s="8">
        <f>IF(OR(F62="",NOT(ISNUMBER(IF(H62&lt;&gt;"",H62,IFERROR(VLOOKUP(C62,'Périodicités'!$A:$C,3,FALSE),""))))),"",EDATE(F62,IF(H62&lt;&gt;"",H62,IFERROR(VLOOKUP(C62,'Périodicités'!$A:$C,3,FALSE),""))))</f>
      </c>
      <c r="J62" s="9">
        <f>IF(I62="","",I62-TODAY())</f>
      </c>
      <c r="K62" s="7">
        <f>IF(B62&amp;C62="","",IF(F62="","Date à saisir",IF(I62="","Périodicité à confirmer",IF(J62&lt;0,"En retard",IF(J62&lt;=30,"À planifier","À jour")))))</f>
      </c>
      <c r="L62" s="5"/>
      <c r="M62" s="5"/>
      <c r="N62" s="5"/>
      <c r="O62" s="10"/>
    </row>
    <row r="63" spans="1:15" x14ac:dyDescent="0.25">
      <c r="A63" s="5">
        <v>59</v>
      </c>
      <c r="B63" s="5"/>
      <c r="C63" s="5"/>
      <c r="D63" s="5"/>
      <c r="E63" s="5"/>
      <c r="F63" s="6"/>
      <c r="G63" s="7">
        <f>IF(C63="","",IFERROR(VLOOKUP(C63,'Périodicités'!$A:$B,2,FALSE),""))</f>
      </c>
      <c r="H63" s="5"/>
      <c r="I63" s="8">
        <f>IF(OR(F63="",NOT(ISNUMBER(IF(H63&lt;&gt;"",H63,IFERROR(VLOOKUP(C63,'Périodicités'!$A:$C,3,FALSE),""))))),"",EDATE(F63,IF(H63&lt;&gt;"",H63,IFERROR(VLOOKUP(C63,'Périodicités'!$A:$C,3,FALSE),""))))</f>
      </c>
      <c r="J63" s="9">
        <f>IF(I63="","",I63-TODAY())</f>
      </c>
      <c r="K63" s="7">
        <f>IF(B63&amp;C63="","",IF(F63="","Date à saisir",IF(I63="","Périodicité à confirmer",IF(J63&lt;0,"En retard",IF(J63&lt;=30,"À planifier","À jour")))))</f>
      </c>
      <c r="L63" s="5"/>
      <c r="M63" s="5"/>
      <c r="N63" s="5"/>
      <c r="O63" s="10"/>
    </row>
    <row r="64" spans="1:15" x14ac:dyDescent="0.25">
      <c r="A64" s="5">
        <v>60</v>
      </c>
      <c r="B64" s="5"/>
      <c r="C64" s="5"/>
      <c r="D64" s="5"/>
      <c r="E64" s="5"/>
      <c r="F64" s="6"/>
      <c r="G64" s="7">
        <f>IF(C64="","",IFERROR(VLOOKUP(C64,'Périodicités'!$A:$B,2,FALSE),""))</f>
      </c>
      <c r="H64" s="5"/>
      <c r="I64" s="8">
        <f>IF(OR(F64="",NOT(ISNUMBER(IF(H64&lt;&gt;"",H64,IFERROR(VLOOKUP(C64,'Périodicités'!$A:$C,3,FALSE),""))))),"",EDATE(F64,IF(H64&lt;&gt;"",H64,IFERROR(VLOOKUP(C64,'Périodicités'!$A:$C,3,FALSE),""))))</f>
      </c>
      <c r="J64" s="9">
        <f>IF(I64="","",I64-TODAY())</f>
      </c>
      <c r="K64" s="7">
        <f>IF(B64&amp;C64="","",IF(F64="","Date à saisir",IF(I64="","Périodicité à confirmer",IF(J64&lt;0,"En retard",IF(J64&lt;=30,"À planifier","À jour")))))</f>
      </c>
      <c r="L64" s="5"/>
      <c r="M64" s="5"/>
      <c r="N64" s="5"/>
      <c r="O64" s="10"/>
    </row>
    <row r="65" spans="1:15" x14ac:dyDescent="0.25">
      <c r="A65" s="5">
        <v>61</v>
      </c>
      <c r="B65" s="5"/>
      <c r="C65" s="5"/>
      <c r="D65" s="5"/>
      <c r="E65" s="5"/>
      <c r="F65" s="6"/>
      <c r="G65" s="7">
        <f>IF(C65="","",IFERROR(VLOOKUP(C65,'Périodicités'!$A:$B,2,FALSE),""))</f>
      </c>
      <c r="H65" s="5"/>
      <c r="I65" s="8">
        <f>IF(OR(F65="",NOT(ISNUMBER(IF(H65&lt;&gt;"",H65,IFERROR(VLOOKUP(C65,'Périodicités'!$A:$C,3,FALSE),""))))),"",EDATE(F65,IF(H65&lt;&gt;"",H65,IFERROR(VLOOKUP(C65,'Périodicités'!$A:$C,3,FALSE),""))))</f>
      </c>
      <c r="J65" s="9">
        <f>IF(I65="","",I65-TODAY())</f>
      </c>
      <c r="K65" s="7">
        <f>IF(B65&amp;C65="","",IF(F65="","Date à saisir",IF(I65="","Périodicité à confirmer",IF(J65&lt;0,"En retard",IF(J65&lt;=30,"À planifier","À jour")))))</f>
      </c>
      <c r="L65" s="5"/>
      <c r="M65" s="5"/>
      <c r="N65" s="5"/>
      <c r="O65" s="10"/>
    </row>
    <row r="66" spans="1:15" x14ac:dyDescent="0.25">
      <c r="A66" s="5">
        <v>62</v>
      </c>
      <c r="B66" s="5"/>
      <c r="C66" s="5"/>
      <c r="D66" s="5"/>
      <c r="E66" s="5"/>
      <c r="F66" s="6"/>
      <c r="G66" s="7">
        <f>IF(C66="","",IFERROR(VLOOKUP(C66,'Périodicités'!$A:$B,2,FALSE),""))</f>
      </c>
      <c r="H66" s="5"/>
      <c r="I66" s="8">
        <f>IF(OR(F66="",NOT(ISNUMBER(IF(H66&lt;&gt;"",H66,IFERROR(VLOOKUP(C66,'Périodicités'!$A:$C,3,FALSE),""))))),"",EDATE(F66,IF(H66&lt;&gt;"",H66,IFERROR(VLOOKUP(C66,'Périodicités'!$A:$C,3,FALSE),""))))</f>
      </c>
      <c r="J66" s="9">
        <f>IF(I66="","",I66-TODAY())</f>
      </c>
      <c r="K66" s="7">
        <f>IF(B66&amp;C66="","",IF(F66="","Date à saisir",IF(I66="","Périodicité à confirmer",IF(J66&lt;0,"En retard",IF(J66&lt;=30,"À planifier","À jour")))))</f>
      </c>
      <c r="L66" s="5"/>
      <c r="M66" s="5"/>
      <c r="N66" s="5"/>
      <c r="O66" s="10"/>
    </row>
    <row r="67" spans="1:15" x14ac:dyDescent="0.25">
      <c r="A67" s="5">
        <v>63</v>
      </c>
      <c r="B67" s="5"/>
      <c r="C67" s="5"/>
      <c r="D67" s="5"/>
      <c r="E67" s="5"/>
      <c r="F67" s="6"/>
      <c r="G67" s="7">
        <f>IF(C67="","",IFERROR(VLOOKUP(C67,'Périodicités'!$A:$B,2,FALSE),""))</f>
      </c>
      <c r="H67" s="5"/>
      <c r="I67" s="8">
        <f>IF(OR(F67="",NOT(ISNUMBER(IF(H67&lt;&gt;"",H67,IFERROR(VLOOKUP(C67,'Périodicités'!$A:$C,3,FALSE),""))))),"",EDATE(F67,IF(H67&lt;&gt;"",H67,IFERROR(VLOOKUP(C67,'Périodicités'!$A:$C,3,FALSE),""))))</f>
      </c>
      <c r="J67" s="9">
        <f>IF(I67="","",I67-TODAY())</f>
      </c>
      <c r="K67" s="7">
        <f>IF(B67&amp;C67="","",IF(F67="","Date à saisir",IF(I67="","Périodicité à confirmer",IF(J67&lt;0,"En retard",IF(J67&lt;=30,"À planifier","À jour")))))</f>
      </c>
      <c r="L67" s="5"/>
      <c r="M67" s="5"/>
      <c r="N67" s="5"/>
      <c r="O67" s="10"/>
    </row>
    <row r="68" spans="1:15" x14ac:dyDescent="0.25">
      <c r="A68" s="5">
        <v>64</v>
      </c>
      <c r="B68" s="5"/>
      <c r="C68" s="5"/>
      <c r="D68" s="5"/>
      <c r="E68" s="5"/>
      <c r="F68" s="6"/>
      <c r="G68" s="7">
        <f>IF(C68="","",IFERROR(VLOOKUP(C68,'Périodicités'!$A:$B,2,FALSE),""))</f>
      </c>
      <c r="H68" s="5"/>
      <c r="I68" s="8">
        <f>IF(OR(F68="",NOT(ISNUMBER(IF(H68&lt;&gt;"",H68,IFERROR(VLOOKUP(C68,'Périodicités'!$A:$C,3,FALSE),""))))),"",EDATE(F68,IF(H68&lt;&gt;"",H68,IFERROR(VLOOKUP(C68,'Périodicités'!$A:$C,3,FALSE),""))))</f>
      </c>
      <c r="J68" s="9">
        <f>IF(I68="","",I68-TODAY())</f>
      </c>
      <c r="K68" s="7">
        <f>IF(B68&amp;C68="","",IF(F68="","Date à saisir",IF(I68="","Périodicité à confirmer",IF(J68&lt;0,"En retard",IF(J68&lt;=30,"À planifier","À jour")))))</f>
      </c>
      <c r="L68" s="5"/>
      <c r="M68" s="5"/>
      <c r="N68" s="5"/>
      <c r="O68" s="10"/>
    </row>
    <row r="69" spans="1:15" x14ac:dyDescent="0.25">
      <c r="A69" s="5">
        <v>65</v>
      </c>
      <c r="B69" s="5"/>
      <c r="C69" s="5"/>
      <c r="D69" s="5"/>
      <c r="E69" s="5"/>
      <c r="F69" s="6"/>
      <c r="G69" s="7">
        <f>IF(C69="","",IFERROR(VLOOKUP(C69,'Périodicités'!$A:$B,2,FALSE),""))</f>
      </c>
      <c r="H69" s="5"/>
      <c r="I69" s="8">
        <f>IF(OR(F69="",NOT(ISNUMBER(IF(H69&lt;&gt;"",H69,IFERROR(VLOOKUP(C69,'Périodicités'!$A:$C,3,FALSE),""))))),"",EDATE(F69,IF(H69&lt;&gt;"",H69,IFERROR(VLOOKUP(C69,'Périodicités'!$A:$C,3,FALSE),""))))</f>
      </c>
      <c r="J69" s="9">
        <f>IF(I69="","",I69-TODAY())</f>
      </c>
      <c r="K69" s="7">
        <f>IF(B69&amp;C69="","",IF(F69="","Date à saisir",IF(I69="","Périodicité à confirmer",IF(J69&lt;0,"En retard",IF(J69&lt;=30,"À planifier","À jour")))))</f>
      </c>
      <c r="L69" s="5"/>
      <c r="M69" s="5"/>
      <c r="N69" s="5"/>
      <c r="O69" s="10"/>
    </row>
    <row r="70" spans="1:15" x14ac:dyDescent="0.25">
      <c r="A70" s="5">
        <v>66</v>
      </c>
      <c r="B70" s="5"/>
      <c r="C70" s="5"/>
      <c r="D70" s="5"/>
      <c r="E70" s="5"/>
      <c r="F70" s="6"/>
      <c r="G70" s="7">
        <f>IF(C70="","",IFERROR(VLOOKUP(C70,'Périodicités'!$A:$B,2,FALSE),""))</f>
      </c>
      <c r="H70" s="5"/>
      <c r="I70" s="8">
        <f>IF(OR(F70="",NOT(ISNUMBER(IF(H70&lt;&gt;"",H70,IFERROR(VLOOKUP(C70,'Périodicités'!$A:$C,3,FALSE),""))))),"",EDATE(F70,IF(H70&lt;&gt;"",H70,IFERROR(VLOOKUP(C70,'Périodicités'!$A:$C,3,FALSE),""))))</f>
      </c>
      <c r="J70" s="9">
        <f>IF(I70="","",I70-TODAY())</f>
      </c>
      <c r="K70" s="7">
        <f>IF(B70&amp;C70="","",IF(F70="","Date à saisir",IF(I70="","Périodicité à confirmer",IF(J70&lt;0,"En retard",IF(J70&lt;=30,"À planifier","À jour")))))</f>
      </c>
      <c r="L70" s="5"/>
      <c r="M70" s="5"/>
      <c r="N70" s="5"/>
      <c r="O70" s="10"/>
    </row>
    <row r="71" spans="1:15" x14ac:dyDescent="0.25">
      <c r="A71" s="5">
        <v>67</v>
      </c>
      <c r="B71" s="5"/>
      <c r="C71" s="5"/>
      <c r="D71" s="5"/>
      <c r="E71" s="5"/>
      <c r="F71" s="6"/>
      <c r="G71" s="7">
        <f>IF(C71="","",IFERROR(VLOOKUP(C71,'Périodicités'!$A:$B,2,FALSE),""))</f>
      </c>
      <c r="H71" s="5"/>
      <c r="I71" s="8">
        <f>IF(OR(F71="",NOT(ISNUMBER(IF(H71&lt;&gt;"",H71,IFERROR(VLOOKUP(C71,'Périodicités'!$A:$C,3,FALSE),""))))),"",EDATE(F71,IF(H71&lt;&gt;"",H71,IFERROR(VLOOKUP(C71,'Périodicités'!$A:$C,3,FALSE),""))))</f>
      </c>
      <c r="J71" s="9">
        <f>IF(I71="","",I71-TODAY())</f>
      </c>
      <c r="K71" s="7">
        <f>IF(B71&amp;C71="","",IF(F71="","Date à saisir",IF(I71="","Périodicité à confirmer",IF(J71&lt;0,"En retard",IF(J71&lt;=30,"À planifier","À jour")))))</f>
      </c>
      <c r="L71" s="5"/>
      <c r="M71" s="5"/>
      <c r="N71" s="5"/>
      <c r="O71" s="10"/>
    </row>
    <row r="72" spans="1:15" x14ac:dyDescent="0.25">
      <c r="A72" s="5">
        <v>68</v>
      </c>
      <c r="B72" s="5"/>
      <c r="C72" s="5"/>
      <c r="D72" s="5"/>
      <c r="E72" s="5"/>
      <c r="F72" s="6"/>
      <c r="G72" s="7">
        <f>IF(C72="","",IFERROR(VLOOKUP(C72,'Périodicités'!$A:$B,2,FALSE),""))</f>
      </c>
      <c r="H72" s="5"/>
      <c r="I72" s="8">
        <f>IF(OR(F72="",NOT(ISNUMBER(IF(H72&lt;&gt;"",H72,IFERROR(VLOOKUP(C72,'Périodicités'!$A:$C,3,FALSE),""))))),"",EDATE(F72,IF(H72&lt;&gt;"",H72,IFERROR(VLOOKUP(C72,'Périodicités'!$A:$C,3,FALSE),""))))</f>
      </c>
      <c r="J72" s="9">
        <f>IF(I72="","",I72-TODAY())</f>
      </c>
      <c r="K72" s="7">
        <f>IF(B72&amp;C72="","",IF(F72="","Date à saisir",IF(I72="","Périodicité à confirmer",IF(J72&lt;0,"En retard",IF(J72&lt;=30,"À planifier","À jour")))))</f>
      </c>
      <c r="L72" s="5"/>
      <c r="M72" s="5"/>
      <c r="N72" s="5"/>
      <c r="O72" s="10"/>
    </row>
    <row r="73" spans="1:15" x14ac:dyDescent="0.25">
      <c r="A73" s="5">
        <v>69</v>
      </c>
      <c r="B73" s="5"/>
      <c r="C73" s="5"/>
      <c r="D73" s="5"/>
      <c r="E73" s="5"/>
      <c r="F73" s="6"/>
      <c r="G73" s="7">
        <f>IF(C73="","",IFERROR(VLOOKUP(C73,'Périodicités'!$A:$B,2,FALSE),""))</f>
      </c>
      <c r="H73" s="5"/>
      <c r="I73" s="8">
        <f>IF(OR(F73="",NOT(ISNUMBER(IF(H73&lt;&gt;"",H73,IFERROR(VLOOKUP(C73,'Périodicités'!$A:$C,3,FALSE),""))))),"",EDATE(F73,IF(H73&lt;&gt;"",H73,IFERROR(VLOOKUP(C73,'Périodicités'!$A:$C,3,FALSE),""))))</f>
      </c>
      <c r="J73" s="9">
        <f>IF(I73="","",I73-TODAY())</f>
      </c>
      <c r="K73" s="7">
        <f>IF(B73&amp;C73="","",IF(F73="","Date à saisir",IF(I73="","Périodicité à confirmer",IF(J73&lt;0,"En retard",IF(J73&lt;=30,"À planifier","À jour")))))</f>
      </c>
      <c r="L73" s="5"/>
      <c r="M73" s="5"/>
      <c r="N73" s="5"/>
      <c r="O73" s="10"/>
    </row>
    <row r="74" spans="1:15" x14ac:dyDescent="0.25">
      <c r="A74" s="5">
        <v>70</v>
      </c>
      <c r="B74" s="5"/>
      <c r="C74" s="5"/>
      <c r="D74" s="5"/>
      <c r="E74" s="5"/>
      <c r="F74" s="6"/>
      <c r="G74" s="7">
        <f>IF(C74="","",IFERROR(VLOOKUP(C74,'Périodicités'!$A:$B,2,FALSE),""))</f>
      </c>
      <c r="H74" s="5"/>
      <c r="I74" s="8">
        <f>IF(OR(F74="",NOT(ISNUMBER(IF(H74&lt;&gt;"",H74,IFERROR(VLOOKUP(C74,'Périodicités'!$A:$C,3,FALSE),""))))),"",EDATE(F74,IF(H74&lt;&gt;"",H74,IFERROR(VLOOKUP(C74,'Périodicités'!$A:$C,3,FALSE),""))))</f>
      </c>
      <c r="J74" s="9">
        <f>IF(I74="","",I74-TODAY())</f>
      </c>
      <c r="K74" s="7">
        <f>IF(B74&amp;C74="","",IF(F74="","Date à saisir",IF(I74="","Périodicité à confirmer",IF(J74&lt;0,"En retard",IF(J74&lt;=30,"À planifier","À jour")))))</f>
      </c>
      <c r="L74" s="5"/>
      <c r="M74" s="5"/>
      <c r="N74" s="5"/>
      <c r="O74" s="10"/>
    </row>
    <row r="75" spans="1:15" x14ac:dyDescent="0.25">
      <c r="A75" s="5">
        <v>71</v>
      </c>
      <c r="B75" s="5"/>
      <c r="C75" s="5"/>
      <c r="D75" s="5"/>
      <c r="E75" s="5"/>
      <c r="F75" s="6"/>
      <c r="G75" s="7">
        <f>IF(C75="","",IFERROR(VLOOKUP(C75,'Périodicités'!$A:$B,2,FALSE),""))</f>
      </c>
      <c r="H75" s="5"/>
      <c r="I75" s="8">
        <f>IF(OR(F75="",NOT(ISNUMBER(IF(H75&lt;&gt;"",H75,IFERROR(VLOOKUP(C75,'Périodicités'!$A:$C,3,FALSE),""))))),"",EDATE(F75,IF(H75&lt;&gt;"",H75,IFERROR(VLOOKUP(C75,'Périodicités'!$A:$C,3,FALSE),""))))</f>
      </c>
      <c r="J75" s="9">
        <f>IF(I75="","",I75-TODAY())</f>
      </c>
      <c r="K75" s="7">
        <f>IF(B75&amp;C75="","",IF(F75="","Date à saisir",IF(I75="","Périodicité à confirmer",IF(J75&lt;0,"En retard",IF(J75&lt;=30,"À planifier","À jour")))))</f>
      </c>
      <c r="L75" s="5"/>
      <c r="M75" s="5"/>
      <c r="N75" s="5"/>
      <c r="O75" s="10"/>
    </row>
    <row r="76" spans="1:15" x14ac:dyDescent="0.25">
      <c r="A76" s="5">
        <v>72</v>
      </c>
      <c r="B76" s="5"/>
      <c r="C76" s="5"/>
      <c r="D76" s="5"/>
      <c r="E76" s="5"/>
      <c r="F76" s="6"/>
      <c r="G76" s="7">
        <f>IF(C76="","",IFERROR(VLOOKUP(C76,'Périodicités'!$A:$B,2,FALSE),""))</f>
      </c>
      <c r="H76" s="5"/>
      <c r="I76" s="8">
        <f>IF(OR(F76="",NOT(ISNUMBER(IF(H76&lt;&gt;"",H76,IFERROR(VLOOKUP(C76,'Périodicités'!$A:$C,3,FALSE),""))))),"",EDATE(F76,IF(H76&lt;&gt;"",H76,IFERROR(VLOOKUP(C76,'Périodicités'!$A:$C,3,FALSE),""))))</f>
      </c>
      <c r="J76" s="9">
        <f>IF(I76="","",I76-TODAY())</f>
      </c>
      <c r="K76" s="7">
        <f>IF(B76&amp;C76="","",IF(F76="","Date à saisir",IF(I76="","Périodicité à confirmer",IF(J76&lt;0,"En retard",IF(J76&lt;=30,"À planifier","À jour")))))</f>
      </c>
      <c r="L76" s="5"/>
      <c r="M76" s="5"/>
      <c r="N76" s="5"/>
      <c r="O76" s="10"/>
    </row>
    <row r="77" spans="1:15" x14ac:dyDescent="0.25">
      <c r="A77" s="5">
        <v>73</v>
      </c>
      <c r="B77" s="5"/>
      <c r="C77" s="5"/>
      <c r="D77" s="5"/>
      <c r="E77" s="5"/>
      <c r="F77" s="6"/>
      <c r="G77" s="7">
        <f>IF(C77="","",IFERROR(VLOOKUP(C77,'Périodicités'!$A:$B,2,FALSE),""))</f>
      </c>
      <c r="H77" s="5"/>
      <c r="I77" s="8">
        <f>IF(OR(F77="",NOT(ISNUMBER(IF(H77&lt;&gt;"",H77,IFERROR(VLOOKUP(C77,'Périodicités'!$A:$C,3,FALSE),""))))),"",EDATE(F77,IF(H77&lt;&gt;"",H77,IFERROR(VLOOKUP(C77,'Périodicités'!$A:$C,3,FALSE),""))))</f>
      </c>
      <c r="J77" s="9">
        <f>IF(I77="","",I77-TODAY())</f>
      </c>
      <c r="K77" s="7">
        <f>IF(B77&amp;C77="","",IF(F77="","Date à saisir",IF(I77="","Périodicité à confirmer",IF(J77&lt;0,"En retard",IF(J77&lt;=30,"À planifier","À jour")))))</f>
      </c>
      <c r="L77" s="5"/>
      <c r="M77" s="5"/>
      <c r="N77" s="5"/>
      <c r="O77" s="10"/>
    </row>
    <row r="78" spans="1:15" x14ac:dyDescent="0.25">
      <c r="A78" s="5">
        <v>74</v>
      </c>
      <c r="B78" s="5"/>
      <c r="C78" s="5"/>
      <c r="D78" s="5"/>
      <c r="E78" s="5"/>
      <c r="F78" s="6"/>
      <c r="G78" s="7">
        <f>IF(C78="","",IFERROR(VLOOKUP(C78,'Périodicités'!$A:$B,2,FALSE),""))</f>
      </c>
      <c r="H78" s="5"/>
      <c r="I78" s="8">
        <f>IF(OR(F78="",NOT(ISNUMBER(IF(H78&lt;&gt;"",H78,IFERROR(VLOOKUP(C78,'Périodicités'!$A:$C,3,FALSE),""))))),"",EDATE(F78,IF(H78&lt;&gt;"",H78,IFERROR(VLOOKUP(C78,'Périodicités'!$A:$C,3,FALSE),""))))</f>
      </c>
      <c r="J78" s="9">
        <f>IF(I78="","",I78-TODAY())</f>
      </c>
      <c r="K78" s="7">
        <f>IF(B78&amp;C78="","",IF(F78="","Date à saisir",IF(I78="","Périodicité à confirmer",IF(J78&lt;0,"En retard",IF(J78&lt;=30,"À planifier","À jour")))))</f>
      </c>
      <c r="L78" s="5"/>
      <c r="M78" s="5"/>
      <c r="N78" s="5"/>
      <c r="O78" s="10"/>
    </row>
    <row r="79" spans="1:15" x14ac:dyDescent="0.25">
      <c r="A79" s="5">
        <v>75</v>
      </c>
      <c r="B79" s="5"/>
      <c r="C79" s="5"/>
      <c r="D79" s="5"/>
      <c r="E79" s="5"/>
      <c r="F79" s="6"/>
      <c r="G79" s="7">
        <f>IF(C79="","",IFERROR(VLOOKUP(C79,'Périodicités'!$A:$B,2,FALSE),""))</f>
      </c>
      <c r="H79" s="5"/>
      <c r="I79" s="8">
        <f>IF(OR(F79="",NOT(ISNUMBER(IF(H79&lt;&gt;"",H79,IFERROR(VLOOKUP(C79,'Périodicités'!$A:$C,3,FALSE),""))))),"",EDATE(F79,IF(H79&lt;&gt;"",H79,IFERROR(VLOOKUP(C79,'Périodicités'!$A:$C,3,FALSE),""))))</f>
      </c>
      <c r="J79" s="9">
        <f>IF(I79="","",I79-TODAY())</f>
      </c>
      <c r="K79" s="7">
        <f>IF(B79&amp;C79="","",IF(F79="","Date à saisir",IF(I79="","Périodicité à confirmer",IF(J79&lt;0,"En retard",IF(J79&lt;=30,"À planifier","À jour")))))</f>
      </c>
      <c r="L79" s="5"/>
      <c r="M79" s="5"/>
      <c r="N79" s="5"/>
      <c r="O79" s="10"/>
    </row>
    <row r="80" spans="1:15" x14ac:dyDescent="0.25">
      <c r="A80" s="5">
        <v>76</v>
      </c>
      <c r="B80" s="5"/>
      <c r="C80" s="5"/>
      <c r="D80" s="5"/>
      <c r="E80" s="5"/>
      <c r="F80" s="6"/>
      <c r="G80" s="7">
        <f>IF(C80="","",IFERROR(VLOOKUP(C80,'Périodicités'!$A:$B,2,FALSE),""))</f>
      </c>
      <c r="H80" s="5"/>
      <c r="I80" s="8">
        <f>IF(OR(F80="",NOT(ISNUMBER(IF(H80&lt;&gt;"",H80,IFERROR(VLOOKUP(C80,'Périodicités'!$A:$C,3,FALSE),""))))),"",EDATE(F80,IF(H80&lt;&gt;"",H80,IFERROR(VLOOKUP(C80,'Périodicités'!$A:$C,3,FALSE),""))))</f>
      </c>
      <c r="J80" s="9">
        <f>IF(I80="","",I80-TODAY())</f>
      </c>
      <c r="K80" s="7">
        <f>IF(B80&amp;C80="","",IF(F80="","Date à saisir",IF(I80="","Périodicité à confirmer",IF(J80&lt;0,"En retard",IF(J80&lt;=30,"À planifier","À jour")))))</f>
      </c>
      <c r="L80" s="5"/>
      <c r="M80" s="5"/>
      <c r="N80" s="5"/>
      <c r="O80" s="10"/>
    </row>
    <row r="81" spans="1:15" x14ac:dyDescent="0.25">
      <c r="A81" s="5">
        <v>77</v>
      </c>
      <c r="B81" s="5"/>
      <c r="C81" s="5"/>
      <c r="D81" s="5"/>
      <c r="E81" s="5"/>
      <c r="F81" s="6"/>
      <c r="G81" s="7">
        <f>IF(C81="","",IFERROR(VLOOKUP(C81,'Périodicités'!$A:$B,2,FALSE),""))</f>
      </c>
      <c r="H81" s="5"/>
      <c r="I81" s="8">
        <f>IF(OR(F81="",NOT(ISNUMBER(IF(H81&lt;&gt;"",H81,IFERROR(VLOOKUP(C81,'Périodicités'!$A:$C,3,FALSE),""))))),"",EDATE(F81,IF(H81&lt;&gt;"",H81,IFERROR(VLOOKUP(C81,'Périodicités'!$A:$C,3,FALSE),""))))</f>
      </c>
      <c r="J81" s="9">
        <f>IF(I81="","",I81-TODAY())</f>
      </c>
      <c r="K81" s="7">
        <f>IF(B81&amp;C81="","",IF(F81="","Date à saisir",IF(I81="","Périodicité à confirmer",IF(J81&lt;0,"En retard",IF(J81&lt;=30,"À planifier","À jour")))))</f>
      </c>
      <c r="L81" s="5"/>
      <c r="M81" s="5"/>
      <c r="N81" s="5"/>
      <c r="O81" s="10"/>
    </row>
    <row r="82" spans="1:15" x14ac:dyDescent="0.25">
      <c r="A82" s="5">
        <v>78</v>
      </c>
      <c r="B82" s="5"/>
      <c r="C82" s="5"/>
      <c r="D82" s="5"/>
      <c r="E82" s="5"/>
      <c r="F82" s="6"/>
      <c r="G82" s="7">
        <f>IF(C82="","",IFERROR(VLOOKUP(C82,'Périodicités'!$A:$B,2,FALSE),""))</f>
      </c>
      <c r="H82" s="5"/>
      <c r="I82" s="8">
        <f>IF(OR(F82="",NOT(ISNUMBER(IF(H82&lt;&gt;"",H82,IFERROR(VLOOKUP(C82,'Périodicités'!$A:$C,3,FALSE),""))))),"",EDATE(F82,IF(H82&lt;&gt;"",H82,IFERROR(VLOOKUP(C82,'Périodicités'!$A:$C,3,FALSE),""))))</f>
      </c>
      <c r="J82" s="9">
        <f>IF(I82="","",I82-TODAY())</f>
      </c>
      <c r="K82" s="7">
        <f>IF(B82&amp;C82="","",IF(F82="","Date à saisir",IF(I82="","Périodicité à confirmer",IF(J82&lt;0,"En retard",IF(J82&lt;=30,"À planifier","À jour")))))</f>
      </c>
      <c r="L82" s="5"/>
      <c r="M82" s="5"/>
      <c r="N82" s="5"/>
      <c r="O82" s="10"/>
    </row>
    <row r="83" spans="1:15" x14ac:dyDescent="0.25">
      <c r="A83" s="5">
        <v>79</v>
      </c>
      <c r="B83" s="5"/>
      <c r="C83" s="5"/>
      <c r="D83" s="5"/>
      <c r="E83" s="5"/>
      <c r="F83" s="6"/>
      <c r="G83" s="7">
        <f>IF(C83="","",IFERROR(VLOOKUP(C83,'Périodicités'!$A:$B,2,FALSE),""))</f>
      </c>
      <c r="H83" s="5"/>
      <c r="I83" s="8">
        <f>IF(OR(F83="",NOT(ISNUMBER(IF(H83&lt;&gt;"",H83,IFERROR(VLOOKUP(C83,'Périodicités'!$A:$C,3,FALSE),""))))),"",EDATE(F83,IF(H83&lt;&gt;"",H83,IFERROR(VLOOKUP(C83,'Périodicités'!$A:$C,3,FALSE),""))))</f>
      </c>
      <c r="J83" s="9">
        <f>IF(I83="","",I83-TODAY())</f>
      </c>
      <c r="K83" s="7">
        <f>IF(B83&amp;C83="","",IF(F83="","Date à saisir",IF(I83="","Périodicité à confirmer",IF(J83&lt;0,"En retard",IF(J83&lt;=30,"À planifier","À jour")))))</f>
      </c>
      <c r="L83" s="5"/>
      <c r="M83" s="5"/>
      <c r="N83" s="5"/>
      <c r="O83" s="10"/>
    </row>
    <row r="84" spans="1:15" x14ac:dyDescent="0.25">
      <c r="A84" s="5">
        <v>80</v>
      </c>
      <c r="B84" s="5"/>
      <c r="C84" s="5"/>
      <c r="D84" s="5"/>
      <c r="E84" s="5"/>
      <c r="F84" s="6"/>
      <c r="G84" s="7">
        <f>IF(C84="","",IFERROR(VLOOKUP(C84,'Périodicités'!$A:$B,2,FALSE),""))</f>
      </c>
      <c r="H84" s="5"/>
      <c r="I84" s="8">
        <f>IF(OR(F84="",NOT(ISNUMBER(IF(H84&lt;&gt;"",H84,IFERROR(VLOOKUP(C84,'Périodicités'!$A:$C,3,FALSE),""))))),"",EDATE(F84,IF(H84&lt;&gt;"",H84,IFERROR(VLOOKUP(C84,'Périodicités'!$A:$C,3,FALSE),""))))</f>
      </c>
      <c r="J84" s="9">
        <f>IF(I84="","",I84-TODAY())</f>
      </c>
      <c r="K84" s="7">
        <f>IF(B84&amp;C84="","",IF(F84="","Date à saisir",IF(I84="","Périodicité à confirmer",IF(J84&lt;0,"En retard",IF(J84&lt;=30,"À planifier","À jour")))))</f>
      </c>
      <c r="L84" s="5"/>
      <c r="M84" s="5"/>
      <c r="N84" s="5"/>
      <c r="O84" s="10"/>
    </row>
    <row r="85" spans="1:15" x14ac:dyDescent="0.25">
      <c r="A85" s="5">
        <v>81</v>
      </c>
      <c r="B85" s="5"/>
      <c r="C85" s="5"/>
      <c r="D85" s="5"/>
      <c r="E85" s="5"/>
      <c r="F85" s="6"/>
      <c r="G85" s="7">
        <f>IF(C85="","",IFERROR(VLOOKUP(C85,'Périodicités'!$A:$B,2,FALSE),""))</f>
      </c>
      <c r="H85" s="5"/>
      <c r="I85" s="8">
        <f>IF(OR(F85="",NOT(ISNUMBER(IF(H85&lt;&gt;"",H85,IFERROR(VLOOKUP(C85,'Périodicités'!$A:$C,3,FALSE),""))))),"",EDATE(F85,IF(H85&lt;&gt;"",H85,IFERROR(VLOOKUP(C85,'Périodicités'!$A:$C,3,FALSE),""))))</f>
      </c>
      <c r="J85" s="9">
        <f>IF(I85="","",I85-TODAY())</f>
      </c>
      <c r="K85" s="7">
        <f>IF(B85&amp;C85="","",IF(F85="","Date à saisir",IF(I85="","Périodicité à confirmer",IF(J85&lt;0,"En retard",IF(J85&lt;=30,"À planifier","À jour")))))</f>
      </c>
      <c r="L85" s="5"/>
      <c r="M85" s="5"/>
      <c r="N85" s="5"/>
      <c r="O85" s="10"/>
    </row>
    <row r="86" spans="1:15" x14ac:dyDescent="0.25">
      <c r="A86" s="5">
        <v>82</v>
      </c>
      <c r="B86" s="5"/>
      <c r="C86" s="5"/>
      <c r="D86" s="5"/>
      <c r="E86" s="5"/>
      <c r="F86" s="6"/>
      <c r="G86" s="7">
        <f>IF(C86="","",IFERROR(VLOOKUP(C86,'Périodicités'!$A:$B,2,FALSE),""))</f>
      </c>
      <c r="H86" s="5"/>
      <c r="I86" s="8">
        <f>IF(OR(F86="",NOT(ISNUMBER(IF(H86&lt;&gt;"",H86,IFERROR(VLOOKUP(C86,'Périodicités'!$A:$C,3,FALSE),""))))),"",EDATE(F86,IF(H86&lt;&gt;"",H86,IFERROR(VLOOKUP(C86,'Périodicités'!$A:$C,3,FALSE),""))))</f>
      </c>
      <c r="J86" s="9">
        <f>IF(I86="","",I86-TODAY())</f>
      </c>
      <c r="K86" s="7">
        <f>IF(B86&amp;C86="","",IF(F86="","Date à saisir",IF(I86="","Périodicité à confirmer",IF(J86&lt;0,"En retard",IF(J86&lt;=30,"À planifier","À jour")))))</f>
      </c>
      <c r="L86" s="5"/>
      <c r="M86" s="5"/>
      <c r="N86" s="5"/>
      <c r="O86" s="10"/>
    </row>
    <row r="87" spans="1:15" x14ac:dyDescent="0.25">
      <c r="A87" s="5">
        <v>83</v>
      </c>
      <c r="B87" s="5"/>
      <c r="C87" s="5"/>
      <c r="D87" s="5"/>
      <c r="E87" s="5"/>
      <c r="F87" s="6"/>
      <c r="G87" s="7">
        <f>IF(C87="","",IFERROR(VLOOKUP(C87,'Périodicités'!$A:$B,2,FALSE),""))</f>
      </c>
      <c r="H87" s="5"/>
      <c r="I87" s="8">
        <f>IF(OR(F87="",NOT(ISNUMBER(IF(H87&lt;&gt;"",H87,IFERROR(VLOOKUP(C87,'Périodicités'!$A:$C,3,FALSE),""))))),"",EDATE(F87,IF(H87&lt;&gt;"",H87,IFERROR(VLOOKUP(C87,'Périodicités'!$A:$C,3,FALSE),""))))</f>
      </c>
      <c r="J87" s="9">
        <f>IF(I87="","",I87-TODAY())</f>
      </c>
      <c r="K87" s="7">
        <f>IF(B87&amp;C87="","",IF(F87="","Date à saisir",IF(I87="","Périodicité à confirmer",IF(J87&lt;0,"En retard",IF(J87&lt;=30,"À planifier","À jour")))))</f>
      </c>
      <c r="L87" s="5"/>
      <c r="M87" s="5"/>
      <c r="N87" s="5"/>
      <c r="O87" s="10"/>
    </row>
    <row r="88" spans="1:15" x14ac:dyDescent="0.25">
      <c r="A88" s="5">
        <v>84</v>
      </c>
      <c r="B88" s="5"/>
      <c r="C88" s="5"/>
      <c r="D88" s="5"/>
      <c r="E88" s="5"/>
      <c r="F88" s="6"/>
      <c r="G88" s="7">
        <f>IF(C88="","",IFERROR(VLOOKUP(C88,'Périodicités'!$A:$B,2,FALSE),""))</f>
      </c>
      <c r="H88" s="5"/>
      <c r="I88" s="8">
        <f>IF(OR(F88="",NOT(ISNUMBER(IF(H88&lt;&gt;"",H88,IFERROR(VLOOKUP(C88,'Périodicités'!$A:$C,3,FALSE),""))))),"",EDATE(F88,IF(H88&lt;&gt;"",H88,IFERROR(VLOOKUP(C88,'Périodicités'!$A:$C,3,FALSE),""))))</f>
      </c>
      <c r="J88" s="9">
        <f>IF(I88="","",I88-TODAY())</f>
      </c>
      <c r="K88" s="7">
        <f>IF(B88&amp;C88="","",IF(F88="","Date à saisir",IF(I88="","Périodicité à confirmer",IF(J88&lt;0,"En retard",IF(J88&lt;=30,"À planifier","À jour")))))</f>
      </c>
      <c r="L88" s="5"/>
      <c r="M88" s="5"/>
      <c r="N88" s="5"/>
      <c r="O88" s="10"/>
    </row>
    <row r="89" spans="1:15" x14ac:dyDescent="0.25">
      <c r="A89" s="5">
        <v>85</v>
      </c>
      <c r="B89" s="5"/>
      <c r="C89" s="5"/>
      <c r="D89" s="5"/>
      <c r="E89" s="5"/>
      <c r="F89" s="6"/>
      <c r="G89" s="7">
        <f>IF(C89="","",IFERROR(VLOOKUP(C89,'Périodicités'!$A:$B,2,FALSE),""))</f>
      </c>
      <c r="H89" s="5"/>
      <c r="I89" s="8">
        <f>IF(OR(F89="",NOT(ISNUMBER(IF(H89&lt;&gt;"",H89,IFERROR(VLOOKUP(C89,'Périodicités'!$A:$C,3,FALSE),""))))),"",EDATE(F89,IF(H89&lt;&gt;"",H89,IFERROR(VLOOKUP(C89,'Périodicités'!$A:$C,3,FALSE),""))))</f>
      </c>
      <c r="J89" s="9">
        <f>IF(I89="","",I89-TODAY())</f>
      </c>
      <c r="K89" s="7">
        <f>IF(B89&amp;C89="","",IF(F89="","Date à saisir",IF(I89="","Périodicité à confirmer",IF(J89&lt;0,"En retard",IF(J89&lt;=30,"À planifier","À jour")))))</f>
      </c>
      <c r="L89" s="5"/>
      <c r="M89" s="5"/>
      <c r="N89" s="5"/>
      <c r="O89" s="10"/>
    </row>
    <row r="90" spans="1:15" x14ac:dyDescent="0.25">
      <c r="A90" s="5">
        <v>86</v>
      </c>
      <c r="B90" s="5"/>
      <c r="C90" s="5"/>
      <c r="D90" s="5"/>
      <c r="E90" s="5"/>
      <c r="F90" s="6"/>
      <c r="G90" s="7">
        <f>IF(C90="","",IFERROR(VLOOKUP(C90,'Périodicités'!$A:$B,2,FALSE),""))</f>
      </c>
      <c r="H90" s="5"/>
      <c r="I90" s="8">
        <f>IF(OR(F90="",NOT(ISNUMBER(IF(H90&lt;&gt;"",H90,IFERROR(VLOOKUP(C90,'Périodicités'!$A:$C,3,FALSE),""))))),"",EDATE(F90,IF(H90&lt;&gt;"",H90,IFERROR(VLOOKUP(C90,'Périodicités'!$A:$C,3,FALSE),""))))</f>
      </c>
      <c r="J90" s="9">
        <f>IF(I90="","",I90-TODAY())</f>
      </c>
      <c r="K90" s="7">
        <f>IF(B90&amp;C90="","",IF(F90="","Date à saisir",IF(I90="","Périodicité à confirmer",IF(J90&lt;0,"En retard",IF(J90&lt;=30,"À planifier","À jour")))))</f>
      </c>
      <c r="L90" s="5"/>
      <c r="M90" s="5"/>
      <c r="N90" s="5"/>
      <c r="O90" s="10"/>
    </row>
    <row r="91" spans="1:15" x14ac:dyDescent="0.25">
      <c r="A91" s="5">
        <v>87</v>
      </c>
      <c r="B91" s="5"/>
      <c r="C91" s="5"/>
      <c r="D91" s="5"/>
      <c r="E91" s="5"/>
      <c r="F91" s="6"/>
      <c r="G91" s="7">
        <f>IF(C91="","",IFERROR(VLOOKUP(C91,'Périodicités'!$A:$B,2,FALSE),""))</f>
      </c>
      <c r="H91" s="5"/>
      <c r="I91" s="8">
        <f>IF(OR(F91="",NOT(ISNUMBER(IF(H91&lt;&gt;"",H91,IFERROR(VLOOKUP(C91,'Périodicités'!$A:$C,3,FALSE),""))))),"",EDATE(F91,IF(H91&lt;&gt;"",H91,IFERROR(VLOOKUP(C91,'Périodicités'!$A:$C,3,FALSE),""))))</f>
      </c>
      <c r="J91" s="9">
        <f>IF(I91="","",I91-TODAY())</f>
      </c>
      <c r="K91" s="7">
        <f>IF(B91&amp;C91="","",IF(F91="","Date à saisir",IF(I91="","Périodicité à confirmer",IF(J91&lt;0,"En retard",IF(J91&lt;=30,"À planifier","À jour")))))</f>
      </c>
      <c r="L91" s="5"/>
      <c r="M91" s="5"/>
      <c r="N91" s="5"/>
      <c r="O91" s="10"/>
    </row>
    <row r="92" spans="1:15" x14ac:dyDescent="0.25">
      <c r="A92" s="5">
        <v>88</v>
      </c>
      <c r="B92" s="5"/>
      <c r="C92" s="5"/>
      <c r="D92" s="5"/>
      <c r="E92" s="5"/>
      <c r="F92" s="6"/>
      <c r="G92" s="7">
        <f>IF(C92="","",IFERROR(VLOOKUP(C92,'Périodicités'!$A:$B,2,FALSE),""))</f>
      </c>
      <c r="H92" s="5"/>
      <c r="I92" s="8">
        <f>IF(OR(F92="",NOT(ISNUMBER(IF(H92&lt;&gt;"",H92,IFERROR(VLOOKUP(C92,'Périodicités'!$A:$C,3,FALSE),""))))),"",EDATE(F92,IF(H92&lt;&gt;"",H92,IFERROR(VLOOKUP(C92,'Périodicités'!$A:$C,3,FALSE),""))))</f>
      </c>
      <c r="J92" s="9">
        <f>IF(I92="","",I92-TODAY())</f>
      </c>
      <c r="K92" s="7">
        <f>IF(B92&amp;C92="","",IF(F92="","Date à saisir",IF(I92="","Périodicité à confirmer",IF(J92&lt;0,"En retard",IF(J92&lt;=30,"À planifier","À jour")))))</f>
      </c>
      <c r="L92" s="5"/>
      <c r="M92" s="5"/>
      <c r="N92" s="5"/>
      <c r="O92" s="10"/>
    </row>
    <row r="93" spans="1:15" x14ac:dyDescent="0.25">
      <c r="A93" s="5">
        <v>89</v>
      </c>
      <c r="B93" s="5"/>
      <c r="C93" s="5"/>
      <c r="D93" s="5"/>
      <c r="E93" s="5"/>
      <c r="F93" s="6"/>
      <c r="G93" s="7">
        <f>IF(C93="","",IFERROR(VLOOKUP(C93,'Périodicités'!$A:$B,2,FALSE),""))</f>
      </c>
      <c r="H93" s="5"/>
      <c r="I93" s="8">
        <f>IF(OR(F93="",NOT(ISNUMBER(IF(H93&lt;&gt;"",H93,IFERROR(VLOOKUP(C93,'Périodicités'!$A:$C,3,FALSE),""))))),"",EDATE(F93,IF(H93&lt;&gt;"",H93,IFERROR(VLOOKUP(C93,'Périodicités'!$A:$C,3,FALSE),""))))</f>
      </c>
      <c r="J93" s="9">
        <f>IF(I93="","",I93-TODAY())</f>
      </c>
      <c r="K93" s="7">
        <f>IF(B93&amp;C93="","",IF(F93="","Date à saisir",IF(I93="","Périodicité à confirmer",IF(J93&lt;0,"En retard",IF(J93&lt;=30,"À planifier","À jour")))))</f>
      </c>
      <c r="L93" s="5"/>
      <c r="M93" s="5"/>
      <c r="N93" s="5"/>
      <c r="O93" s="10"/>
    </row>
    <row r="94" spans="1:15" x14ac:dyDescent="0.25">
      <c r="A94" s="5">
        <v>90</v>
      </c>
      <c r="B94" s="5"/>
      <c r="C94" s="5"/>
      <c r="D94" s="5"/>
      <c r="E94" s="5"/>
      <c r="F94" s="6"/>
      <c r="G94" s="7">
        <f>IF(C94="","",IFERROR(VLOOKUP(C94,'Périodicités'!$A:$B,2,FALSE),""))</f>
      </c>
      <c r="H94" s="5"/>
      <c r="I94" s="8">
        <f>IF(OR(F94="",NOT(ISNUMBER(IF(H94&lt;&gt;"",H94,IFERROR(VLOOKUP(C94,'Périodicités'!$A:$C,3,FALSE),""))))),"",EDATE(F94,IF(H94&lt;&gt;"",H94,IFERROR(VLOOKUP(C94,'Périodicités'!$A:$C,3,FALSE),""))))</f>
      </c>
      <c r="J94" s="9">
        <f>IF(I94="","",I94-TODAY())</f>
      </c>
      <c r="K94" s="7">
        <f>IF(B94&amp;C94="","",IF(F94="","Date à saisir",IF(I94="","Périodicité à confirmer",IF(J94&lt;0,"En retard",IF(J94&lt;=30,"À planifier","À jour")))))</f>
      </c>
      <c r="L94" s="5"/>
      <c r="M94" s="5"/>
      <c r="N94" s="5"/>
      <c r="O94" s="10"/>
    </row>
    <row r="95" spans="1:15" x14ac:dyDescent="0.25">
      <c r="A95" s="5">
        <v>91</v>
      </c>
      <c r="B95" s="5"/>
      <c r="C95" s="5"/>
      <c r="D95" s="5"/>
      <c r="E95" s="5"/>
      <c r="F95" s="6"/>
      <c r="G95" s="7">
        <f>IF(C95="","",IFERROR(VLOOKUP(C95,'Périodicités'!$A:$B,2,FALSE),""))</f>
      </c>
      <c r="H95" s="5"/>
      <c r="I95" s="8">
        <f>IF(OR(F95="",NOT(ISNUMBER(IF(H95&lt;&gt;"",H95,IFERROR(VLOOKUP(C95,'Périodicités'!$A:$C,3,FALSE),""))))),"",EDATE(F95,IF(H95&lt;&gt;"",H95,IFERROR(VLOOKUP(C95,'Périodicités'!$A:$C,3,FALSE),""))))</f>
      </c>
      <c r="J95" s="9">
        <f>IF(I95="","",I95-TODAY())</f>
      </c>
      <c r="K95" s="7">
        <f>IF(B95&amp;C95="","",IF(F95="","Date à saisir",IF(I95="","Périodicité à confirmer",IF(J95&lt;0,"En retard",IF(J95&lt;=30,"À planifier","À jour")))))</f>
      </c>
      <c r="L95" s="5"/>
      <c r="M95" s="5"/>
      <c r="N95" s="5"/>
      <c r="O95" s="10"/>
    </row>
    <row r="96" spans="1:15" x14ac:dyDescent="0.25">
      <c r="A96" s="5">
        <v>92</v>
      </c>
      <c r="B96" s="5"/>
      <c r="C96" s="5"/>
      <c r="D96" s="5"/>
      <c r="E96" s="5"/>
      <c r="F96" s="6"/>
      <c r="G96" s="7">
        <f>IF(C96="","",IFERROR(VLOOKUP(C96,'Périodicités'!$A:$B,2,FALSE),""))</f>
      </c>
      <c r="H96" s="5"/>
      <c r="I96" s="8">
        <f>IF(OR(F96="",NOT(ISNUMBER(IF(H96&lt;&gt;"",H96,IFERROR(VLOOKUP(C96,'Périodicités'!$A:$C,3,FALSE),""))))),"",EDATE(F96,IF(H96&lt;&gt;"",H96,IFERROR(VLOOKUP(C96,'Périodicités'!$A:$C,3,FALSE),""))))</f>
      </c>
      <c r="J96" s="9">
        <f>IF(I96="","",I96-TODAY())</f>
      </c>
      <c r="K96" s="7">
        <f>IF(B96&amp;C96="","",IF(F96="","Date à saisir",IF(I96="","Périodicité à confirmer",IF(J96&lt;0,"En retard",IF(J96&lt;=30,"À planifier","À jour")))))</f>
      </c>
      <c r="L96" s="5"/>
      <c r="M96" s="5"/>
      <c r="N96" s="5"/>
      <c r="O96" s="10"/>
    </row>
    <row r="97" spans="1:15" x14ac:dyDescent="0.25">
      <c r="A97" s="5">
        <v>93</v>
      </c>
      <c r="B97" s="5"/>
      <c r="C97" s="5"/>
      <c r="D97" s="5"/>
      <c r="E97" s="5"/>
      <c r="F97" s="6"/>
      <c r="G97" s="7">
        <f>IF(C97="","",IFERROR(VLOOKUP(C97,'Périodicités'!$A:$B,2,FALSE),""))</f>
      </c>
      <c r="H97" s="5"/>
      <c r="I97" s="8">
        <f>IF(OR(F97="",NOT(ISNUMBER(IF(H97&lt;&gt;"",H97,IFERROR(VLOOKUP(C97,'Périodicités'!$A:$C,3,FALSE),""))))),"",EDATE(F97,IF(H97&lt;&gt;"",H97,IFERROR(VLOOKUP(C97,'Périodicités'!$A:$C,3,FALSE),""))))</f>
      </c>
      <c r="J97" s="9">
        <f>IF(I97="","",I97-TODAY())</f>
      </c>
      <c r="K97" s="7">
        <f>IF(B97&amp;C97="","",IF(F97="","Date à saisir",IF(I97="","Périodicité à confirmer",IF(J97&lt;0,"En retard",IF(J97&lt;=30,"À planifier","À jour")))))</f>
      </c>
      <c r="L97" s="5"/>
      <c r="M97" s="5"/>
      <c r="N97" s="5"/>
      <c r="O97" s="10"/>
    </row>
    <row r="98" spans="1:15" x14ac:dyDescent="0.25">
      <c r="A98" s="5">
        <v>94</v>
      </c>
      <c r="B98" s="5"/>
      <c r="C98" s="5"/>
      <c r="D98" s="5"/>
      <c r="E98" s="5"/>
      <c r="F98" s="6"/>
      <c r="G98" s="7">
        <f>IF(C98="","",IFERROR(VLOOKUP(C98,'Périodicités'!$A:$B,2,FALSE),""))</f>
      </c>
      <c r="H98" s="5"/>
      <c r="I98" s="8">
        <f>IF(OR(F98="",NOT(ISNUMBER(IF(H98&lt;&gt;"",H98,IFERROR(VLOOKUP(C98,'Périodicités'!$A:$C,3,FALSE),""))))),"",EDATE(F98,IF(H98&lt;&gt;"",H98,IFERROR(VLOOKUP(C98,'Périodicités'!$A:$C,3,FALSE),""))))</f>
      </c>
      <c r="J98" s="9">
        <f>IF(I98="","",I98-TODAY())</f>
      </c>
      <c r="K98" s="7">
        <f>IF(B98&amp;C98="","",IF(F98="","Date à saisir",IF(I98="","Périodicité à confirmer",IF(J98&lt;0,"En retard",IF(J98&lt;=30,"À planifier","À jour")))))</f>
      </c>
      <c r="L98" s="5"/>
      <c r="M98" s="5"/>
      <c r="N98" s="5"/>
      <c r="O98" s="10"/>
    </row>
    <row r="99" spans="1:15" x14ac:dyDescent="0.25">
      <c r="A99" s="5">
        <v>95</v>
      </c>
      <c r="B99" s="5"/>
      <c r="C99" s="5"/>
      <c r="D99" s="5"/>
      <c r="E99" s="5"/>
      <c r="F99" s="6"/>
      <c r="G99" s="7">
        <f>IF(C99="","",IFERROR(VLOOKUP(C99,'Périodicités'!$A:$B,2,FALSE),""))</f>
      </c>
      <c r="H99" s="5"/>
      <c r="I99" s="8">
        <f>IF(OR(F99="",NOT(ISNUMBER(IF(H99&lt;&gt;"",H99,IFERROR(VLOOKUP(C99,'Périodicités'!$A:$C,3,FALSE),""))))),"",EDATE(F99,IF(H99&lt;&gt;"",H99,IFERROR(VLOOKUP(C99,'Périodicités'!$A:$C,3,FALSE),""))))</f>
      </c>
      <c r="J99" s="9">
        <f>IF(I99="","",I99-TODAY())</f>
      </c>
      <c r="K99" s="7">
        <f>IF(B99&amp;C99="","",IF(F99="","Date à saisir",IF(I99="","Périodicité à confirmer",IF(J99&lt;0,"En retard",IF(J99&lt;=30,"À planifier","À jour")))))</f>
      </c>
      <c r="L99" s="5"/>
      <c r="M99" s="5"/>
      <c r="N99" s="5"/>
      <c r="O99" s="10"/>
    </row>
    <row r="100" spans="1:15" x14ac:dyDescent="0.25">
      <c r="A100" s="5">
        <v>96</v>
      </c>
      <c r="B100" s="5"/>
      <c r="C100" s="5"/>
      <c r="D100" s="5"/>
      <c r="E100" s="5"/>
      <c r="F100" s="6"/>
      <c r="G100" s="7">
        <f>IF(C100="","",IFERROR(VLOOKUP(C100,'Périodicités'!$A:$B,2,FALSE),""))</f>
      </c>
      <c r="H100" s="5"/>
      <c r="I100" s="8">
        <f>IF(OR(F100="",NOT(ISNUMBER(IF(H100&lt;&gt;"",H100,IFERROR(VLOOKUP(C100,'Périodicités'!$A:$C,3,FALSE),""))))),"",EDATE(F100,IF(H100&lt;&gt;"",H100,IFERROR(VLOOKUP(C100,'Périodicités'!$A:$C,3,FALSE),""))))</f>
      </c>
      <c r="J100" s="9">
        <f>IF(I100="","",I100-TODAY())</f>
      </c>
      <c r="K100" s="7">
        <f>IF(B100&amp;C100="","",IF(F100="","Date à saisir",IF(I100="","Périodicité à confirmer",IF(J100&lt;0,"En retard",IF(J100&lt;=30,"À planifier","À jour")))))</f>
      </c>
      <c r="L100" s="5"/>
      <c r="M100" s="5"/>
      <c r="N100" s="5"/>
      <c r="O100" s="10"/>
    </row>
    <row r="101" spans="1:15" x14ac:dyDescent="0.25">
      <c r="A101" s="5">
        <v>97</v>
      </c>
      <c r="B101" s="5"/>
      <c r="C101" s="5"/>
      <c r="D101" s="5"/>
      <c r="E101" s="5"/>
      <c r="F101" s="6"/>
      <c r="G101" s="7">
        <f>IF(C101="","",IFERROR(VLOOKUP(C101,'Périodicités'!$A:$B,2,FALSE),""))</f>
      </c>
      <c r="H101" s="5"/>
      <c r="I101" s="8">
        <f>IF(OR(F101="",NOT(ISNUMBER(IF(H101&lt;&gt;"",H101,IFERROR(VLOOKUP(C101,'Périodicités'!$A:$C,3,FALSE),""))))),"",EDATE(F101,IF(H101&lt;&gt;"",H101,IFERROR(VLOOKUP(C101,'Périodicités'!$A:$C,3,FALSE),""))))</f>
      </c>
      <c r="J101" s="9">
        <f>IF(I101="","",I101-TODAY())</f>
      </c>
      <c r="K101" s="7">
        <f>IF(B101&amp;C101="","",IF(F101="","Date à saisir",IF(I101="","Périodicité à confirmer",IF(J101&lt;0,"En retard",IF(J101&lt;=30,"À planifier","À jour")))))</f>
      </c>
      <c r="L101" s="5"/>
      <c r="M101" s="5"/>
      <c r="N101" s="5"/>
      <c r="O101" s="10"/>
    </row>
    <row r="102" spans="1:15" x14ac:dyDescent="0.25">
      <c r="A102" s="5">
        <v>98</v>
      </c>
      <c r="B102" s="5"/>
      <c r="C102" s="5"/>
      <c r="D102" s="5"/>
      <c r="E102" s="5"/>
      <c r="F102" s="6"/>
      <c r="G102" s="7">
        <f>IF(C102="","",IFERROR(VLOOKUP(C102,'Périodicités'!$A:$B,2,FALSE),""))</f>
      </c>
      <c r="H102" s="5"/>
      <c r="I102" s="8">
        <f>IF(OR(F102="",NOT(ISNUMBER(IF(H102&lt;&gt;"",H102,IFERROR(VLOOKUP(C102,'Périodicités'!$A:$C,3,FALSE),""))))),"",EDATE(F102,IF(H102&lt;&gt;"",H102,IFERROR(VLOOKUP(C102,'Périodicités'!$A:$C,3,FALSE),""))))</f>
      </c>
      <c r="J102" s="9">
        <f>IF(I102="","",I102-TODAY())</f>
      </c>
      <c r="K102" s="7">
        <f>IF(B102&amp;C102="","",IF(F102="","Date à saisir",IF(I102="","Périodicité à confirmer",IF(J102&lt;0,"En retard",IF(J102&lt;=30,"À planifier","À jour")))))</f>
      </c>
      <c r="L102" s="5"/>
      <c r="M102" s="5"/>
      <c r="N102" s="5"/>
      <c r="O102" s="10"/>
    </row>
    <row r="103" spans="1:15" x14ac:dyDescent="0.25">
      <c r="A103" s="5">
        <v>99</v>
      </c>
      <c r="B103" s="5"/>
      <c r="C103" s="5"/>
      <c r="D103" s="5"/>
      <c r="E103" s="5"/>
      <c r="F103" s="6"/>
      <c r="G103" s="7">
        <f>IF(C103="","",IFERROR(VLOOKUP(C103,'Périodicités'!$A:$B,2,FALSE),""))</f>
      </c>
      <c r="H103" s="5"/>
      <c r="I103" s="8">
        <f>IF(OR(F103="",NOT(ISNUMBER(IF(H103&lt;&gt;"",H103,IFERROR(VLOOKUP(C103,'Périodicités'!$A:$C,3,FALSE),""))))),"",EDATE(F103,IF(H103&lt;&gt;"",H103,IFERROR(VLOOKUP(C103,'Périodicités'!$A:$C,3,FALSE),""))))</f>
      </c>
      <c r="J103" s="9">
        <f>IF(I103="","",I103-TODAY())</f>
      </c>
      <c r="K103" s="7">
        <f>IF(B103&amp;C103="","",IF(F103="","Date à saisir",IF(I103="","Périodicité à confirmer",IF(J103&lt;0,"En retard",IF(J103&lt;=30,"À planifier","À jour")))))</f>
      </c>
      <c r="L103" s="5"/>
      <c r="M103" s="5"/>
      <c r="N103" s="5"/>
      <c r="O103" s="10"/>
    </row>
    <row r="104" spans="1:15" x14ac:dyDescent="0.25">
      <c r="A104" s="5">
        <v>100</v>
      </c>
      <c r="B104" s="5"/>
      <c r="C104" s="5"/>
      <c r="D104" s="5"/>
      <c r="E104" s="5"/>
      <c r="F104" s="6"/>
      <c r="G104" s="7">
        <f>IF(C104="","",IFERROR(VLOOKUP(C104,'Périodicités'!$A:$B,2,FALSE),""))</f>
      </c>
      <c r="H104" s="5"/>
      <c r="I104" s="8">
        <f>IF(OR(F104="",NOT(ISNUMBER(IF(H104&lt;&gt;"",H104,IFERROR(VLOOKUP(C104,'Périodicités'!$A:$C,3,FALSE),""))))),"",EDATE(F104,IF(H104&lt;&gt;"",H104,IFERROR(VLOOKUP(C104,'Périodicités'!$A:$C,3,FALSE),""))))</f>
      </c>
      <c r="J104" s="9">
        <f>IF(I104="","",I104-TODAY())</f>
      </c>
      <c r="K104" s="7">
        <f>IF(B104&amp;C104="","",IF(F104="","Date à saisir",IF(I104="","Périodicité à confirmer",IF(J104&lt;0,"En retard",IF(J104&lt;=30,"À planifier","À jour")))))</f>
      </c>
      <c r="L104" s="5"/>
      <c r="M104" s="5"/>
      <c r="N104" s="5"/>
      <c r="O104" s="10"/>
    </row>
    <row r="105" spans="1:15" x14ac:dyDescent="0.25">
      <c r="A105" s="5">
        <v>101</v>
      </c>
      <c r="B105" s="5"/>
      <c r="C105" s="5"/>
      <c r="D105" s="5"/>
      <c r="E105" s="5"/>
      <c r="F105" s="6"/>
      <c r="G105" s="7">
        <f>IF(C105="","",IFERROR(VLOOKUP(C105,'Périodicités'!$A:$B,2,FALSE),""))</f>
      </c>
      <c r="H105" s="5"/>
      <c r="I105" s="8">
        <f>IF(OR(F105="",NOT(ISNUMBER(IF(H105&lt;&gt;"",H105,IFERROR(VLOOKUP(C105,'Périodicités'!$A:$C,3,FALSE),""))))),"",EDATE(F105,IF(H105&lt;&gt;"",H105,IFERROR(VLOOKUP(C105,'Périodicités'!$A:$C,3,FALSE),""))))</f>
      </c>
      <c r="J105" s="9">
        <f>IF(I105="","",I105-TODAY())</f>
      </c>
      <c r="K105" s="7">
        <f>IF(B105&amp;C105="","",IF(F105="","Date à saisir",IF(I105="","Périodicité à confirmer",IF(J105&lt;0,"En retard",IF(J105&lt;=30,"À planifier","À jour")))))</f>
      </c>
      <c r="L105" s="5"/>
      <c r="M105" s="5"/>
      <c r="N105" s="5"/>
      <c r="O105" s="10"/>
    </row>
    <row r="106" spans="1:15" x14ac:dyDescent="0.25">
      <c r="A106" s="5">
        <v>102</v>
      </c>
      <c r="B106" s="5"/>
      <c r="C106" s="5"/>
      <c r="D106" s="5"/>
      <c r="E106" s="5"/>
      <c r="F106" s="6"/>
      <c r="G106" s="7">
        <f>IF(C106="","",IFERROR(VLOOKUP(C106,'Périodicités'!$A:$B,2,FALSE),""))</f>
      </c>
      <c r="H106" s="5"/>
      <c r="I106" s="8">
        <f>IF(OR(F106="",NOT(ISNUMBER(IF(H106&lt;&gt;"",H106,IFERROR(VLOOKUP(C106,'Périodicités'!$A:$C,3,FALSE),""))))),"",EDATE(F106,IF(H106&lt;&gt;"",H106,IFERROR(VLOOKUP(C106,'Périodicités'!$A:$C,3,FALSE),""))))</f>
      </c>
      <c r="J106" s="9">
        <f>IF(I106="","",I106-TODAY())</f>
      </c>
      <c r="K106" s="7">
        <f>IF(B106&amp;C106="","",IF(F106="","Date à saisir",IF(I106="","Périodicité à confirmer",IF(J106&lt;0,"En retard",IF(J106&lt;=30,"À planifier","À jour")))))</f>
      </c>
      <c r="L106" s="5"/>
      <c r="M106" s="5"/>
      <c r="N106" s="5"/>
      <c r="O106" s="10"/>
    </row>
    <row r="107" spans="1:15" x14ac:dyDescent="0.25">
      <c r="A107" s="5">
        <v>103</v>
      </c>
      <c r="B107" s="5"/>
      <c r="C107" s="5"/>
      <c r="D107" s="5"/>
      <c r="E107" s="5"/>
      <c r="F107" s="6"/>
      <c r="G107" s="7">
        <f>IF(C107="","",IFERROR(VLOOKUP(C107,'Périodicités'!$A:$B,2,FALSE),""))</f>
      </c>
      <c r="H107" s="5"/>
      <c r="I107" s="8">
        <f>IF(OR(F107="",NOT(ISNUMBER(IF(H107&lt;&gt;"",H107,IFERROR(VLOOKUP(C107,'Périodicités'!$A:$C,3,FALSE),""))))),"",EDATE(F107,IF(H107&lt;&gt;"",H107,IFERROR(VLOOKUP(C107,'Périodicités'!$A:$C,3,FALSE),""))))</f>
      </c>
      <c r="J107" s="9">
        <f>IF(I107="","",I107-TODAY())</f>
      </c>
      <c r="K107" s="7">
        <f>IF(B107&amp;C107="","",IF(F107="","Date à saisir",IF(I107="","Périodicité à confirmer",IF(J107&lt;0,"En retard",IF(J107&lt;=30,"À planifier","À jour")))))</f>
      </c>
      <c r="L107" s="5"/>
      <c r="M107" s="5"/>
      <c r="N107" s="5"/>
      <c r="O107" s="10"/>
    </row>
    <row r="108" spans="1:15" x14ac:dyDescent="0.25">
      <c r="A108" s="5">
        <v>104</v>
      </c>
      <c r="B108" s="5"/>
      <c r="C108" s="5"/>
      <c r="D108" s="5"/>
      <c r="E108" s="5"/>
      <c r="F108" s="6"/>
      <c r="G108" s="7">
        <f>IF(C108="","",IFERROR(VLOOKUP(C108,'Périodicités'!$A:$B,2,FALSE),""))</f>
      </c>
      <c r="H108" s="5"/>
      <c r="I108" s="8">
        <f>IF(OR(F108="",NOT(ISNUMBER(IF(H108&lt;&gt;"",H108,IFERROR(VLOOKUP(C108,'Périodicités'!$A:$C,3,FALSE),""))))),"",EDATE(F108,IF(H108&lt;&gt;"",H108,IFERROR(VLOOKUP(C108,'Périodicités'!$A:$C,3,FALSE),""))))</f>
      </c>
      <c r="J108" s="9">
        <f>IF(I108="","",I108-TODAY())</f>
      </c>
      <c r="K108" s="7">
        <f>IF(B108&amp;C108="","",IF(F108="","Date à saisir",IF(I108="","Périodicité à confirmer",IF(J108&lt;0,"En retard",IF(J108&lt;=30,"À planifier","À jour")))))</f>
      </c>
      <c r="L108" s="5"/>
      <c r="M108" s="5"/>
      <c r="N108" s="5"/>
      <c r="O108" s="10"/>
    </row>
    <row r="109" spans="1:15" x14ac:dyDescent="0.25">
      <c r="A109" s="5">
        <v>105</v>
      </c>
      <c r="B109" s="5"/>
      <c r="C109" s="5"/>
      <c r="D109" s="5"/>
      <c r="E109" s="5"/>
      <c r="F109" s="6"/>
      <c r="G109" s="7">
        <f>IF(C109="","",IFERROR(VLOOKUP(C109,'Périodicités'!$A:$B,2,FALSE),""))</f>
      </c>
      <c r="H109" s="5"/>
      <c r="I109" s="8">
        <f>IF(OR(F109="",NOT(ISNUMBER(IF(H109&lt;&gt;"",H109,IFERROR(VLOOKUP(C109,'Périodicités'!$A:$C,3,FALSE),""))))),"",EDATE(F109,IF(H109&lt;&gt;"",H109,IFERROR(VLOOKUP(C109,'Périodicités'!$A:$C,3,FALSE),""))))</f>
      </c>
      <c r="J109" s="9">
        <f>IF(I109="","",I109-TODAY())</f>
      </c>
      <c r="K109" s="7">
        <f>IF(B109&amp;C109="","",IF(F109="","Date à saisir",IF(I109="","Périodicité à confirmer",IF(J109&lt;0,"En retard",IF(J109&lt;=30,"À planifier","À jour")))))</f>
      </c>
      <c r="L109" s="5"/>
      <c r="M109" s="5"/>
      <c r="N109" s="5"/>
      <c r="O109" s="10"/>
    </row>
    <row r="110" spans="1:15" x14ac:dyDescent="0.25">
      <c r="A110" s="5">
        <v>106</v>
      </c>
      <c r="B110" s="5"/>
      <c r="C110" s="5"/>
      <c r="D110" s="5"/>
      <c r="E110" s="5"/>
      <c r="F110" s="6"/>
      <c r="G110" s="7">
        <f>IF(C110="","",IFERROR(VLOOKUP(C110,'Périodicités'!$A:$B,2,FALSE),""))</f>
      </c>
      <c r="H110" s="5"/>
      <c r="I110" s="8">
        <f>IF(OR(F110="",NOT(ISNUMBER(IF(H110&lt;&gt;"",H110,IFERROR(VLOOKUP(C110,'Périodicités'!$A:$C,3,FALSE),""))))),"",EDATE(F110,IF(H110&lt;&gt;"",H110,IFERROR(VLOOKUP(C110,'Périodicités'!$A:$C,3,FALSE),""))))</f>
      </c>
      <c r="J110" s="9">
        <f>IF(I110="","",I110-TODAY())</f>
      </c>
      <c r="K110" s="7">
        <f>IF(B110&amp;C110="","",IF(F110="","Date à saisir",IF(I110="","Périodicité à confirmer",IF(J110&lt;0,"En retard",IF(J110&lt;=30,"À planifier","À jour")))))</f>
      </c>
      <c r="L110" s="5"/>
      <c r="M110" s="5"/>
      <c r="N110" s="5"/>
      <c r="O110" s="10"/>
    </row>
    <row r="111" spans="1:15" x14ac:dyDescent="0.25">
      <c r="A111" s="5">
        <v>107</v>
      </c>
      <c r="B111" s="5"/>
      <c r="C111" s="5"/>
      <c r="D111" s="5"/>
      <c r="E111" s="5"/>
      <c r="F111" s="6"/>
      <c r="G111" s="7">
        <f>IF(C111="","",IFERROR(VLOOKUP(C111,'Périodicités'!$A:$B,2,FALSE),""))</f>
      </c>
      <c r="H111" s="5"/>
      <c r="I111" s="8">
        <f>IF(OR(F111="",NOT(ISNUMBER(IF(H111&lt;&gt;"",H111,IFERROR(VLOOKUP(C111,'Périodicités'!$A:$C,3,FALSE),""))))),"",EDATE(F111,IF(H111&lt;&gt;"",H111,IFERROR(VLOOKUP(C111,'Périodicités'!$A:$C,3,FALSE),""))))</f>
      </c>
      <c r="J111" s="9">
        <f>IF(I111="","",I111-TODAY())</f>
      </c>
      <c r="K111" s="7">
        <f>IF(B111&amp;C111="","",IF(F111="","Date à saisir",IF(I111="","Périodicité à confirmer",IF(J111&lt;0,"En retard",IF(J111&lt;=30,"À planifier","À jour")))))</f>
      </c>
      <c r="L111" s="5"/>
      <c r="M111" s="5"/>
      <c r="N111" s="5"/>
      <c r="O111" s="10"/>
    </row>
    <row r="112" spans="1:15" x14ac:dyDescent="0.25">
      <c r="A112" s="5">
        <v>108</v>
      </c>
      <c r="B112" s="5"/>
      <c r="C112" s="5"/>
      <c r="D112" s="5"/>
      <c r="E112" s="5"/>
      <c r="F112" s="6"/>
      <c r="G112" s="7">
        <f>IF(C112="","",IFERROR(VLOOKUP(C112,'Périodicités'!$A:$B,2,FALSE),""))</f>
      </c>
      <c r="H112" s="5"/>
      <c r="I112" s="8">
        <f>IF(OR(F112="",NOT(ISNUMBER(IF(H112&lt;&gt;"",H112,IFERROR(VLOOKUP(C112,'Périodicités'!$A:$C,3,FALSE),""))))),"",EDATE(F112,IF(H112&lt;&gt;"",H112,IFERROR(VLOOKUP(C112,'Périodicités'!$A:$C,3,FALSE),""))))</f>
      </c>
      <c r="J112" s="9">
        <f>IF(I112="","",I112-TODAY())</f>
      </c>
      <c r="K112" s="7">
        <f>IF(B112&amp;C112="","",IF(F112="","Date à saisir",IF(I112="","Périodicité à confirmer",IF(J112&lt;0,"En retard",IF(J112&lt;=30,"À planifier","À jour")))))</f>
      </c>
      <c r="L112" s="5"/>
      <c r="M112" s="5"/>
      <c r="N112" s="5"/>
      <c r="O112" s="10"/>
    </row>
    <row r="113" spans="1:15" x14ac:dyDescent="0.25">
      <c r="A113" s="5">
        <v>109</v>
      </c>
      <c r="B113" s="5"/>
      <c r="C113" s="5"/>
      <c r="D113" s="5"/>
      <c r="E113" s="5"/>
      <c r="F113" s="6"/>
      <c r="G113" s="7">
        <f>IF(C113="","",IFERROR(VLOOKUP(C113,'Périodicités'!$A:$B,2,FALSE),""))</f>
      </c>
      <c r="H113" s="5"/>
      <c r="I113" s="8">
        <f>IF(OR(F113="",NOT(ISNUMBER(IF(H113&lt;&gt;"",H113,IFERROR(VLOOKUP(C113,'Périodicités'!$A:$C,3,FALSE),""))))),"",EDATE(F113,IF(H113&lt;&gt;"",H113,IFERROR(VLOOKUP(C113,'Périodicités'!$A:$C,3,FALSE),""))))</f>
      </c>
      <c r="J113" s="9">
        <f>IF(I113="","",I113-TODAY())</f>
      </c>
      <c r="K113" s="7">
        <f>IF(B113&amp;C113="","",IF(F113="","Date à saisir",IF(I113="","Périodicité à confirmer",IF(J113&lt;0,"En retard",IF(J113&lt;=30,"À planifier","À jour")))))</f>
      </c>
      <c r="L113" s="5"/>
      <c r="M113" s="5"/>
      <c r="N113" s="5"/>
      <c r="O113" s="10"/>
    </row>
    <row r="114" spans="1:15" x14ac:dyDescent="0.25">
      <c r="A114" s="5">
        <v>110</v>
      </c>
      <c r="B114" s="5"/>
      <c r="C114" s="5"/>
      <c r="D114" s="5"/>
      <c r="E114" s="5"/>
      <c r="F114" s="6"/>
      <c r="G114" s="7">
        <f>IF(C114="","",IFERROR(VLOOKUP(C114,'Périodicités'!$A:$B,2,FALSE),""))</f>
      </c>
      <c r="H114" s="5"/>
      <c r="I114" s="8">
        <f>IF(OR(F114="",NOT(ISNUMBER(IF(H114&lt;&gt;"",H114,IFERROR(VLOOKUP(C114,'Périodicités'!$A:$C,3,FALSE),""))))),"",EDATE(F114,IF(H114&lt;&gt;"",H114,IFERROR(VLOOKUP(C114,'Périodicités'!$A:$C,3,FALSE),""))))</f>
      </c>
      <c r="J114" s="9">
        <f>IF(I114="","",I114-TODAY())</f>
      </c>
      <c r="K114" s="7">
        <f>IF(B114&amp;C114="","",IF(F114="","Date à saisir",IF(I114="","Périodicité à confirmer",IF(J114&lt;0,"En retard",IF(J114&lt;=30,"À planifier","À jour")))))</f>
      </c>
      <c r="L114" s="5"/>
      <c r="M114" s="5"/>
      <c r="N114" s="5"/>
      <c r="O114" s="10"/>
    </row>
    <row r="115" spans="1:15" x14ac:dyDescent="0.25">
      <c r="A115" s="5">
        <v>111</v>
      </c>
      <c r="B115" s="5"/>
      <c r="C115" s="5"/>
      <c r="D115" s="5"/>
      <c r="E115" s="5"/>
      <c r="F115" s="6"/>
      <c r="G115" s="7">
        <f>IF(C115="","",IFERROR(VLOOKUP(C115,'Périodicités'!$A:$B,2,FALSE),""))</f>
      </c>
      <c r="H115" s="5"/>
      <c r="I115" s="8">
        <f>IF(OR(F115="",NOT(ISNUMBER(IF(H115&lt;&gt;"",H115,IFERROR(VLOOKUP(C115,'Périodicités'!$A:$C,3,FALSE),""))))),"",EDATE(F115,IF(H115&lt;&gt;"",H115,IFERROR(VLOOKUP(C115,'Périodicités'!$A:$C,3,FALSE),""))))</f>
      </c>
      <c r="J115" s="9">
        <f>IF(I115="","",I115-TODAY())</f>
      </c>
      <c r="K115" s="7">
        <f>IF(B115&amp;C115="","",IF(F115="","Date à saisir",IF(I115="","Périodicité à confirmer",IF(J115&lt;0,"En retard",IF(J115&lt;=30,"À planifier","À jour")))))</f>
      </c>
      <c r="L115" s="5"/>
      <c r="M115" s="5"/>
      <c r="N115" s="5"/>
      <c r="O115" s="10"/>
    </row>
    <row r="116" spans="1:15" x14ac:dyDescent="0.25">
      <c r="A116" s="5">
        <v>112</v>
      </c>
      <c r="B116" s="5"/>
      <c r="C116" s="5"/>
      <c r="D116" s="5"/>
      <c r="E116" s="5"/>
      <c r="F116" s="6"/>
      <c r="G116" s="7">
        <f>IF(C116="","",IFERROR(VLOOKUP(C116,'Périodicités'!$A:$B,2,FALSE),""))</f>
      </c>
      <c r="H116" s="5"/>
      <c r="I116" s="8">
        <f>IF(OR(F116="",NOT(ISNUMBER(IF(H116&lt;&gt;"",H116,IFERROR(VLOOKUP(C116,'Périodicités'!$A:$C,3,FALSE),""))))),"",EDATE(F116,IF(H116&lt;&gt;"",H116,IFERROR(VLOOKUP(C116,'Périodicités'!$A:$C,3,FALSE),""))))</f>
      </c>
      <c r="J116" s="9">
        <f>IF(I116="","",I116-TODAY())</f>
      </c>
      <c r="K116" s="7">
        <f>IF(B116&amp;C116="","",IF(F116="","Date à saisir",IF(I116="","Périodicité à confirmer",IF(J116&lt;0,"En retard",IF(J116&lt;=30,"À planifier","À jour")))))</f>
      </c>
      <c r="L116" s="5"/>
      <c r="M116" s="5"/>
      <c r="N116" s="5"/>
      <c r="O116" s="10"/>
    </row>
    <row r="117" spans="1:15" x14ac:dyDescent="0.25">
      <c r="A117" s="5">
        <v>113</v>
      </c>
      <c r="B117" s="5"/>
      <c r="C117" s="5"/>
      <c r="D117" s="5"/>
      <c r="E117" s="5"/>
      <c r="F117" s="6"/>
      <c r="G117" s="7">
        <f>IF(C117="","",IFERROR(VLOOKUP(C117,'Périodicités'!$A:$B,2,FALSE),""))</f>
      </c>
      <c r="H117" s="5"/>
      <c r="I117" s="8">
        <f>IF(OR(F117="",NOT(ISNUMBER(IF(H117&lt;&gt;"",H117,IFERROR(VLOOKUP(C117,'Périodicités'!$A:$C,3,FALSE),""))))),"",EDATE(F117,IF(H117&lt;&gt;"",H117,IFERROR(VLOOKUP(C117,'Périodicités'!$A:$C,3,FALSE),""))))</f>
      </c>
      <c r="J117" s="9">
        <f>IF(I117="","",I117-TODAY())</f>
      </c>
      <c r="K117" s="7">
        <f>IF(B117&amp;C117="","",IF(F117="","Date à saisir",IF(I117="","Périodicité à confirmer",IF(J117&lt;0,"En retard",IF(J117&lt;=30,"À planifier","À jour")))))</f>
      </c>
      <c r="L117" s="5"/>
      <c r="M117" s="5"/>
      <c r="N117" s="5"/>
      <c r="O117" s="10"/>
    </row>
    <row r="118" spans="1:15" x14ac:dyDescent="0.25">
      <c r="A118" s="5">
        <v>114</v>
      </c>
      <c r="B118" s="5"/>
      <c r="C118" s="5"/>
      <c r="D118" s="5"/>
      <c r="E118" s="5"/>
      <c r="F118" s="6"/>
      <c r="G118" s="7">
        <f>IF(C118="","",IFERROR(VLOOKUP(C118,'Périodicités'!$A:$B,2,FALSE),""))</f>
      </c>
      <c r="H118" s="5"/>
      <c r="I118" s="8">
        <f>IF(OR(F118="",NOT(ISNUMBER(IF(H118&lt;&gt;"",H118,IFERROR(VLOOKUP(C118,'Périodicités'!$A:$C,3,FALSE),""))))),"",EDATE(F118,IF(H118&lt;&gt;"",H118,IFERROR(VLOOKUP(C118,'Périodicités'!$A:$C,3,FALSE),""))))</f>
      </c>
      <c r="J118" s="9">
        <f>IF(I118="","",I118-TODAY())</f>
      </c>
      <c r="K118" s="7">
        <f>IF(B118&amp;C118="","",IF(F118="","Date à saisir",IF(I118="","Périodicité à confirmer",IF(J118&lt;0,"En retard",IF(J118&lt;=30,"À planifier","À jour")))))</f>
      </c>
      <c r="L118" s="5"/>
      <c r="M118" s="5"/>
      <c r="N118" s="5"/>
      <c r="O118" s="10"/>
    </row>
    <row r="119" spans="1:15" x14ac:dyDescent="0.25">
      <c r="A119" s="5">
        <v>115</v>
      </c>
      <c r="B119" s="5"/>
      <c r="C119" s="5"/>
      <c r="D119" s="5"/>
      <c r="E119" s="5"/>
      <c r="F119" s="6"/>
      <c r="G119" s="7">
        <f>IF(C119="","",IFERROR(VLOOKUP(C119,'Périodicités'!$A:$B,2,FALSE),""))</f>
      </c>
      <c r="H119" s="5"/>
      <c r="I119" s="8">
        <f>IF(OR(F119="",NOT(ISNUMBER(IF(H119&lt;&gt;"",H119,IFERROR(VLOOKUP(C119,'Périodicités'!$A:$C,3,FALSE),""))))),"",EDATE(F119,IF(H119&lt;&gt;"",H119,IFERROR(VLOOKUP(C119,'Périodicités'!$A:$C,3,FALSE),""))))</f>
      </c>
      <c r="J119" s="9">
        <f>IF(I119="","",I119-TODAY())</f>
      </c>
      <c r="K119" s="7">
        <f>IF(B119&amp;C119="","",IF(F119="","Date à saisir",IF(I119="","Périodicité à confirmer",IF(J119&lt;0,"En retard",IF(J119&lt;=30,"À planifier","À jour")))))</f>
      </c>
      <c r="L119" s="5"/>
      <c r="M119" s="5"/>
      <c r="N119" s="5"/>
      <c r="O119" s="10"/>
    </row>
    <row r="120" spans="1:15" x14ac:dyDescent="0.25">
      <c r="A120" s="5">
        <v>116</v>
      </c>
      <c r="B120" s="5"/>
      <c r="C120" s="5"/>
      <c r="D120" s="5"/>
      <c r="E120" s="5"/>
      <c r="F120" s="6"/>
      <c r="G120" s="7">
        <f>IF(C120="","",IFERROR(VLOOKUP(C120,'Périodicités'!$A:$B,2,FALSE),""))</f>
      </c>
      <c r="H120" s="5"/>
      <c r="I120" s="8">
        <f>IF(OR(F120="",NOT(ISNUMBER(IF(H120&lt;&gt;"",H120,IFERROR(VLOOKUP(C120,'Périodicités'!$A:$C,3,FALSE),""))))),"",EDATE(F120,IF(H120&lt;&gt;"",H120,IFERROR(VLOOKUP(C120,'Périodicités'!$A:$C,3,FALSE),""))))</f>
      </c>
      <c r="J120" s="9">
        <f>IF(I120="","",I120-TODAY())</f>
      </c>
      <c r="K120" s="7">
        <f>IF(B120&amp;C120="","",IF(F120="","Date à saisir",IF(I120="","Périodicité à confirmer",IF(J120&lt;0,"En retard",IF(J120&lt;=30,"À planifier","À jour")))))</f>
      </c>
      <c r="L120" s="5"/>
      <c r="M120" s="5"/>
      <c r="N120" s="5"/>
      <c r="O120" s="10"/>
    </row>
    <row r="121" spans="1:15" x14ac:dyDescent="0.25">
      <c r="A121" s="5">
        <v>117</v>
      </c>
      <c r="B121" s="5"/>
      <c r="C121" s="5"/>
      <c r="D121" s="5"/>
      <c r="E121" s="5"/>
      <c r="F121" s="6"/>
      <c r="G121" s="7">
        <f>IF(C121="","",IFERROR(VLOOKUP(C121,'Périodicités'!$A:$B,2,FALSE),""))</f>
      </c>
      <c r="H121" s="5"/>
      <c r="I121" s="8">
        <f>IF(OR(F121="",NOT(ISNUMBER(IF(H121&lt;&gt;"",H121,IFERROR(VLOOKUP(C121,'Périodicités'!$A:$C,3,FALSE),""))))),"",EDATE(F121,IF(H121&lt;&gt;"",H121,IFERROR(VLOOKUP(C121,'Périodicités'!$A:$C,3,FALSE),""))))</f>
      </c>
      <c r="J121" s="9">
        <f>IF(I121="","",I121-TODAY())</f>
      </c>
      <c r="K121" s="7">
        <f>IF(B121&amp;C121="","",IF(F121="","Date à saisir",IF(I121="","Périodicité à confirmer",IF(J121&lt;0,"En retard",IF(J121&lt;=30,"À planifier","À jour")))))</f>
      </c>
      <c r="L121" s="5"/>
      <c r="M121" s="5"/>
      <c r="N121" s="5"/>
      <c r="O121" s="10"/>
    </row>
    <row r="122" spans="1:15" x14ac:dyDescent="0.25">
      <c r="A122" s="5">
        <v>118</v>
      </c>
      <c r="B122" s="5"/>
      <c r="C122" s="5"/>
      <c r="D122" s="5"/>
      <c r="E122" s="5"/>
      <c r="F122" s="6"/>
      <c r="G122" s="7">
        <f>IF(C122="","",IFERROR(VLOOKUP(C122,'Périodicités'!$A:$B,2,FALSE),""))</f>
      </c>
      <c r="H122" s="5"/>
      <c r="I122" s="8">
        <f>IF(OR(F122="",NOT(ISNUMBER(IF(H122&lt;&gt;"",H122,IFERROR(VLOOKUP(C122,'Périodicités'!$A:$C,3,FALSE),""))))),"",EDATE(F122,IF(H122&lt;&gt;"",H122,IFERROR(VLOOKUP(C122,'Périodicités'!$A:$C,3,FALSE),""))))</f>
      </c>
      <c r="J122" s="9">
        <f>IF(I122="","",I122-TODAY())</f>
      </c>
      <c r="K122" s="7">
        <f>IF(B122&amp;C122="","",IF(F122="","Date à saisir",IF(I122="","Périodicité à confirmer",IF(J122&lt;0,"En retard",IF(J122&lt;=30,"À planifier","À jour")))))</f>
      </c>
      <c r="L122" s="5"/>
      <c r="M122" s="5"/>
      <c r="N122" s="5"/>
      <c r="O122" s="10"/>
    </row>
    <row r="123" spans="1:15" x14ac:dyDescent="0.25">
      <c r="A123" s="5">
        <v>119</v>
      </c>
      <c r="B123" s="5"/>
      <c r="C123" s="5"/>
      <c r="D123" s="5"/>
      <c r="E123" s="5"/>
      <c r="F123" s="6"/>
      <c r="G123" s="7">
        <f>IF(C123="","",IFERROR(VLOOKUP(C123,'Périodicités'!$A:$B,2,FALSE),""))</f>
      </c>
      <c r="H123" s="5"/>
      <c r="I123" s="8">
        <f>IF(OR(F123="",NOT(ISNUMBER(IF(H123&lt;&gt;"",H123,IFERROR(VLOOKUP(C123,'Périodicités'!$A:$C,3,FALSE),""))))),"",EDATE(F123,IF(H123&lt;&gt;"",H123,IFERROR(VLOOKUP(C123,'Périodicités'!$A:$C,3,FALSE),""))))</f>
      </c>
      <c r="J123" s="9">
        <f>IF(I123="","",I123-TODAY())</f>
      </c>
      <c r="K123" s="7">
        <f>IF(B123&amp;C123="","",IF(F123="","Date à saisir",IF(I123="","Périodicité à confirmer",IF(J123&lt;0,"En retard",IF(J123&lt;=30,"À planifier","À jour")))))</f>
      </c>
      <c r="L123" s="5"/>
      <c r="M123" s="5"/>
      <c r="N123" s="5"/>
      <c r="O123" s="10"/>
    </row>
    <row r="124" spans="1:15" x14ac:dyDescent="0.25">
      <c r="A124" s="5">
        <v>120</v>
      </c>
      <c r="B124" s="5"/>
      <c r="C124" s="5"/>
      <c r="D124" s="5"/>
      <c r="E124" s="5"/>
      <c r="F124" s="6"/>
      <c r="G124" s="7">
        <f>IF(C124="","",IFERROR(VLOOKUP(C124,'Périodicités'!$A:$B,2,FALSE),""))</f>
      </c>
      <c r="H124" s="5"/>
      <c r="I124" s="8">
        <f>IF(OR(F124="",NOT(ISNUMBER(IF(H124&lt;&gt;"",H124,IFERROR(VLOOKUP(C124,'Périodicités'!$A:$C,3,FALSE),""))))),"",EDATE(F124,IF(H124&lt;&gt;"",H124,IFERROR(VLOOKUP(C124,'Périodicités'!$A:$C,3,FALSE),""))))</f>
      </c>
      <c r="J124" s="9">
        <f>IF(I124="","",I124-TODAY())</f>
      </c>
      <c r="K124" s="7">
        <f>IF(B124&amp;C124="","",IF(F124="","Date à saisir",IF(I124="","Périodicité à confirmer",IF(J124&lt;0,"En retard",IF(J124&lt;=30,"À planifier","À jour")))))</f>
      </c>
      <c r="L124" s="5"/>
      <c r="M124" s="5"/>
      <c r="N124" s="5"/>
      <c r="O124" s="10"/>
    </row>
    <row r="125" spans="1:15" x14ac:dyDescent="0.25">
      <c r="A125" s="5">
        <v>121</v>
      </c>
      <c r="B125" s="5"/>
      <c r="C125" s="5"/>
      <c r="D125" s="5"/>
      <c r="E125" s="5"/>
      <c r="F125" s="6"/>
      <c r="G125" s="7">
        <f>IF(C125="","",IFERROR(VLOOKUP(C125,'Périodicités'!$A:$B,2,FALSE),""))</f>
      </c>
      <c r="H125" s="5"/>
      <c r="I125" s="8">
        <f>IF(OR(F125="",NOT(ISNUMBER(IF(H125&lt;&gt;"",H125,IFERROR(VLOOKUP(C125,'Périodicités'!$A:$C,3,FALSE),""))))),"",EDATE(F125,IF(H125&lt;&gt;"",H125,IFERROR(VLOOKUP(C125,'Périodicités'!$A:$C,3,FALSE),""))))</f>
      </c>
      <c r="J125" s="9">
        <f>IF(I125="","",I125-TODAY())</f>
      </c>
      <c r="K125" s="7">
        <f>IF(B125&amp;C125="","",IF(F125="","Date à saisir",IF(I125="","Périodicité à confirmer",IF(J125&lt;0,"En retard",IF(J125&lt;=30,"À planifier","À jour")))))</f>
      </c>
      <c r="L125" s="5"/>
      <c r="M125" s="5"/>
      <c r="N125" s="5"/>
      <c r="O125" s="10"/>
    </row>
    <row r="126" spans="1:15" x14ac:dyDescent="0.25">
      <c r="A126" s="5">
        <v>122</v>
      </c>
      <c r="B126" s="5"/>
      <c r="C126" s="5"/>
      <c r="D126" s="5"/>
      <c r="E126" s="5"/>
      <c r="F126" s="6"/>
      <c r="G126" s="7">
        <f>IF(C126="","",IFERROR(VLOOKUP(C126,'Périodicités'!$A:$B,2,FALSE),""))</f>
      </c>
      <c r="H126" s="5"/>
      <c r="I126" s="8">
        <f>IF(OR(F126="",NOT(ISNUMBER(IF(H126&lt;&gt;"",H126,IFERROR(VLOOKUP(C126,'Périodicités'!$A:$C,3,FALSE),""))))),"",EDATE(F126,IF(H126&lt;&gt;"",H126,IFERROR(VLOOKUP(C126,'Périodicités'!$A:$C,3,FALSE),""))))</f>
      </c>
      <c r="J126" s="9">
        <f>IF(I126="","",I126-TODAY())</f>
      </c>
      <c r="K126" s="7">
        <f>IF(B126&amp;C126="","",IF(F126="","Date à saisir",IF(I126="","Périodicité à confirmer",IF(J126&lt;0,"En retard",IF(J126&lt;=30,"À planifier","À jour")))))</f>
      </c>
      <c r="L126" s="5"/>
      <c r="M126" s="5"/>
      <c r="N126" s="5"/>
      <c r="O126" s="10"/>
    </row>
    <row r="127" spans="1:15" x14ac:dyDescent="0.25">
      <c r="A127" s="5">
        <v>123</v>
      </c>
      <c r="B127" s="5"/>
      <c r="C127" s="5"/>
      <c r="D127" s="5"/>
      <c r="E127" s="5"/>
      <c r="F127" s="6"/>
      <c r="G127" s="7">
        <f>IF(C127="","",IFERROR(VLOOKUP(C127,'Périodicités'!$A:$B,2,FALSE),""))</f>
      </c>
      <c r="H127" s="5"/>
      <c r="I127" s="8">
        <f>IF(OR(F127="",NOT(ISNUMBER(IF(H127&lt;&gt;"",H127,IFERROR(VLOOKUP(C127,'Périodicités'!$A:$C,3,FALSE),""))))),"",EDATE(F127,IF(H127&lt;&gt;"",H127,IFERROR(VLOOKUP(C127,'Périodicités'!$A:$C,3,FALSE),""))))</f>
      </c>
      <c r="J127" s="9">
        <f>IF(I127="","",I127-TODAY())</f>
      </c>
      <c r="K127" s="7">
        <f>IF(B127&amp;C127="","",IF(F127="","Date à saisir",IF(I127="","Périodicité à confirmer",IF(J127&lt;0,"En retard",IF(J127&lt;=30,"À planifier","À jour")))))</f>
      </c>
      <c r="L127" s="5"/>
      <c r="M127" s="5"/>
      <c r="N127" s="5"/>
      <c r="O127" s="10"/>
    </row>
    <row r="128" spans="1:15" x14ac:dyDescent="0.25">
      <c r="A128" s="5">
        <v>124</v>
      </c>
      <c r="B128" s="5"/>
      <c r="C128" s="5"/>
      <c r="D128" s="5"/>
      <c r="E128" s="5"/>
      <c r="F128" s="6"/>
      <c r="G128" s="7">
        <f>IF(C128="","",IFERROR(VLOOKUP(C128,'Périodicités'!$A:$B,2,FALSE),""))</f>
      </c>
      <c r="H128" s="5"/>
      <c r="I128" s="8">
        <f>IF(OR(F128="",NOT(ISNUMBER(IF(H128&lt;&gt;"",H128,IFERROR(VLOOKUP(C128,'Périodicités'!$A:$C,3,FALSE),""))))),"",EDATE(F128,IF(H128&lt;&gt;"",H128,IFERROR(VLOOKUP(C128,'Périodicités'!$A:$C,3,FALSE),""))))</f>
      </c>
      <c r="J128" s="9">
        <f>IF(I128="","",I128-TODAY())</f>
      </c>
      <c r="K128" s="7">
        <f>IF(B128&amp;C128="","",IF(F128="","Date à saisir",IF(I128="","Périodicité à confirmer",IF(J128&lt;0,"En retard",IF(J128&lt;=30,"À planifier","À jour")))))</f>
      </c>
      <c r="L128" s="5"/>
      <c r="M128" s="5"/>
      <c r="N128" s="5"/>
      <c r="O128" s="10"/>
    </row>
    <row r="129" spans="1:15" x14ac:dyDescent="0.25">
      <c r="A129" s="5">
        <v>125</v>
      </c>
      <c r="B129" s="5"/>
      <c r="C129" s="5"/>
      <c r="D129" s="5"/>
      <c r="E129" s="5"/>
      <c r="F129" s="6"/>
      <c r="G129" s="7">
        <f>IF(C129="","",IFERROR(VLOOKUP(C129,'Périodicités'!$A:$B,2,FALSE),""))</f>
      </c>
      <c r="H129" s="5"/>
      <c r="I129" s="8">
        <f>IF(OR(F129="",NOT(ISNUMBER(IF(H129&lt;&gt;"",H129,IFERROR(VLOOKUP(C129,'Périodicités'!$A:$C,3,FALSE),""))))),"",EDATE(F129,IF(H129&lt;&gt;"",H129,IFERROR(VLOOKUP(C129,'Périodicités'!$A:$C,3,FALSE),""))))</f>
      </c>
      <c r="J129" s="9">
        <f>IF(I129="","",I129-TODAY())</f>
      </c>
      <c r="K129" s="7">
        <f>IF(B129&amp;C129="","",IF(F129="","Date à saisir",IF(I129="","Périodicité à confirmer",IF(J129&lt;0,"En retard",IF(J129&lt;=30,"À planifier","À jour")))))</f>
      </c>
      <c r="L129" s="5"/>
      <c r="M129" s="5"/>
      <c r="N129" s="5"/>
      <c r="O129" s="10"/>
    </row>
    <row r="130" spans="1:15" x14ac:dyDescent="0.25">
      <c r="A130" s="5">
        <v>126</v>
      </c>
      <c r="B130" s="5"/>
      <c r="C130" s="5"/>
      <c r="D130" s="5"/>
      <c r="E130" s="5"/>
      <c r="F130" s="6"/>
      <c r="G130" s="7">
        <f>IF(C130="","",IFERROR(VLOOKUP(C130,'Périodicités'!$A:$B,2,FALSE),""))</f>
      </c>
      <c r="H130" s="5"/>
      <c r="I130" s="8">
        <f>IF(OR(F130="",NOT(ISNUMBER(IF(H130&lt;&gt;"",H130,IFERROR(VLOOKUP(C130,'Périodicités'!$A:$C,3,FALSE),""))))),"",EDATE(F130,IF(H130&lt;&gt;"",H130,IFERROR(VLOOKUP(C130,'Périodicités'!$A:$C,3,FALSE),""))))</f>
      </c>
      <c r="J130" s="9">
        <f>IF(I130="","",I130-TODAY())</f>
      </c>
      <c r="K130" s="7">
        <f>IF(B130&amp;C130="","",IF(F130="","Date à saisir",IF(I130="","Périodicité à confirmer",IF(J130&lt;0,"En retard",IF(J130&lt;=30,"À planifier","À jour")))))</f>
      </c>
      <c r="L130" s="5"/>
      <c r="M130" s="5"/>
      <c r="N130" s="5"/>
      <c r="O130" s="10"/>
    </row>
    <row r="131" spans="1:15" x14ac:dyDescent="0.25">
      <c r="A131" s="5">
        <v>127</v>
      </c>
      <c r="B131" s="5"/>
      <c r="C131" s="5"/>
      <c r="D131" s="5"/>
      <c r="E131" s="5"/>
      <c r="F131" s="6"/>
      <c r="G131" s="7">
        <f>IF(C131="","",IFERROR(VLOOKUP(C131,'Périodicités'!$A:$B,2,FALSE),""))</f>
      </c>
      <c r="H131" s="5"/>
      <c r="I131" s="8">
        <f>IF(OR(F131="",NOT(ISNUMBER(IF(H131&lt;&gt;"",H131,IFERROR(VLOOKUP(C131,'Périodicités'!$A:$C,3,FALSE),""))))),"",EDATE(F131,IF(H131&lt;&gt;"",H131,IFERROR(VLOOKUP(C131,'Périodicités'!$A:$C,3,FALSE),""))))</f>
      </c>
      <c r="J131" s="9">
        <f>IF(I131="","",I131-TODAY())</f>
      </c>
      <c r="K131" s="7">
        <f>IF(B131&amp;C131="","",IF(F131="","Date à saisir",IF(I131="","Périodicité à confirmer",IF(J131&lt;0,"En retard",IF(J131&lt;=30,"À planifier","À jour")))))</f>
      </c>
      <c r="L131" s="5"/>
      <c r="M131" s="5"/>
      <c r="N131" s="5"/>
      <c r="O131" s="10"/>
    </row>
    <row r="132" spans="1:15" x14ac:dyDescent="0.25">
      <c r="A132" s="5">
        <v>128</v>
      </c>
      <c r="B132" s="5"/>
      <c r="C132" s="5"/>
      <c r="D132" s="5"/>
      <c r="E132" s="5"/>
      <c r="F132" s="6"/>
      <c r="G132" s="7">
        <f>IF(C132="","",IFERROR(VLOOKUP(C132,'Périodicités'!$A:$B,2,FALSE),""))</f>
      </c>
      <c r="H132" s="5"/>
      <c r="I132" s="8">
        <f>IF(OR(F132="",NOT(ISNUMBER(IF(H132&lt;&gt;"",H132,IFERROR(VLOOKUP(C132,'Périodicités'!$A:$C,3,FALSE),""))))),"",EDATE(F132,IF(H132&lt;&gt;"",H132,IFERROR(VLOOKUP(C132,'Périodicités'!$A:$C,3,FALSE),""))))</f>
      </c>
      <c r="J132" s="9">
        <f>IF(I132="","",I132-TODAY())</f>
      </c>
      <c r="K132" s="7">
        <f>IF(B132&amp;C132="","",IF(F132="","Date à saisir",IF(I132="","Périodicité à confirmer",IF(J132&lt;0,"En retard",IF(J132&lt;=30,"À planifier","À jour")))))</f>
      </c>
      <c r="L132" s="5"/>
      <c r="M132" s="5"/>
      <c r="N132" s="5"/>
      <c r="O132" s="10"/>
    </row>
    <row r="133" spans="1:15" x14ac:dyDescent="0.25">
      <c r="A133" s="5">
        <v>129</v>
      </c>
      <c r="B133" s="5"/>
      <c r="C133" s="5"/>
      <c r="D133" s="5"/>
      <c r="E133" s="5"/>
      <c r="F133" s="6"/>
      <c r="G133" s="7">
        <f>IF(C133="","",IFERROR(VLOOKUP(C133,'Périodicités'!$A:$B,2,FALSE),""))</f>
      </c>
      <c r="H133" s="5"/>
      <c r="I133" s="8">
        <f>IF(OR(F133="",NOT(ISNUMBER(IF(H133&lt;&gt;"",H133,IFERROR(VLOOKUP(C133,'Périodicités'!$A:$C,3,FALSE),""))))),"",EDATE(F133,IF(H133&lt;&gt;"",H133,IFERROR(VLOOKUP(C133,'Périodicités'!$A:$C,3,FALSE),""))))</f>
      </c>
      <c r="J133" s="9">
        <f>IF(I133="","",I133-TODAY())</f>
      </c>
      <c r="K133" s="7">
        <f>IF(B133&amp;C133="","",IF(F133="","Date à saisir",IF(I133="","Périodicité à confirmer",IF(J133&lt;0,"En retard",IF(J133&lt;=30,"À planifier","À jour")))))</f>
      </c>
      <c r="L133" s="5"/>
      <c r="M133" s="5"/>
      <c r="N133" s="5"/>
      <c r="O133" s="10"/>
    </row>
    <row r="134" spans="1:15" x14ac:dyDescent="0.25">
      <c r="A134" s="5">
        <v>130</v>
      </c>
      <c r="B134" s="5"/>
      <c r="C134" s="5"/>
      <c r="D134" s="5"/>
      <c r="E134" s="5"/>
      <c r="F134" s="6"/>
      <c r="G134" s="7">
        <f>IF(C134="","",IFERROR(VLOOKUP(C134,'Périodicités'!$A:$B,2,FALSE),""))</f>
      </c>
      <c r="H134" s="5"/>
      <c r="I134" s="8">
        <f>IF(OR(F134="",NOT(ISNUMBER(IF(H134&lt;&gt;"",H134,IFERROR(VLOOKUP(C134,'Périodicités'!$A:$C,3,FALSE),""))))),"",EDATE(F134,IF(H134&lt;&gt;"",H134,IFERROR(VLOOKUP(C134,'Périodicités'!$A:$C,3,FALSE),""))))</f>
      </c>
      <c r="J134" s="9">
        <f>IF(I134="","",I134-TODAY())</f>
      </c>
      <c r="K134" s="7">
        <f>IF(B134&amp;C134="","",IF(F134="","Date à saisir",IF(I134="","Périodicité à confirmer",IF(J134&lt;0,"En retard",IF(J134&lt;=30,"À planifier","À jour")))))</f>
      </c>
      <c r="L134" s="5"/>
      <c r="M134" s="5"/>
      <c r="N134" s="5"/>
      <c r="O134" s="10"/>
    </row>
    <row r="135" spans="1:15" x14ac:dyDescent="0.25">
      <c r="A135" s="5">
        <v>131</v>
      </c>
      <c r="B135" s="5"/>
      <c r="C135" s="5"/>
      <c r="D135" s="5"/>
      <c r="E135" s="5"/>
      <c r="F135" s="6"/>
      <c r="G135" s="7">
        <f>IF(C135="","",IFERROR(VLOOKUP(C135,'Périodicités'!$A:$B,2,FALSE),""))</f>
      </c>
      <c r="H135" s="5"/>
      <c r="I135" s="8">
        <f>IF(OR(F135="",NOT(ISNUMBER(IF(H135&lt;&gt;"",H135,IFERROR(VLOOKUP(C135,'Périodicités'!$A:$C,3,FALSE),""))))),"",EDATE(F135,IF(H135&lt;&gt;"",H135,IFERROR(VLOOKUP(C135,'Périodicités'!$A:$C,3,FALSE),""))))</f>
      </c>
      <c r="J135" s="9">
        <f>IF(I135="","",I135-TODAY())</f>
      </c>
      <c r="K135" s="7">
        <f>IF(B135&amp;C135="","",IF(F135="","Date à saisir",IF(I135="","Périodicité à confirmer",IF(J135&lt;0,"En retard",IF(J135&lt;=30,"À planifier","À jour")))))</f>
      </c>
      <c r="L135" s="5"/>
      <c r="M135" s="5"/>
      <c r="N135" s="5"/>
      <c r="O135" s="10"/>
    </row>
    <row r="136" spans="1:15" x14ac:dyDescent="0.25">
      <c r="A136" s="5">
        <v>132</v>
      </c>
      <c r="B136" s="5"/>
      <c r="C136" s="5"/>
      <c r="D136" s="5"/>
      <c r="E136" s="5"/>
      <c r="F136" s="6"/>
      <c r="G136" s="7">
        <f>IF(C136="","",IFERROR(VLOOKUP(C136,'Périodicités'!$A:$B,2,FALSE),""))</f>
      </c>
      <c r="H136" s="5"/>
      <c r="I136" s="8">
        <f>IF(OR(F136="",NOT(ISNUMBER(IF(H136&lt;&gt;"",H136,IFERROR(VLOOKUP(C136,'Périodicités'!$A:$C,3,FALSE),""))))),"",EDATE(F136,IF(H136&lt;&gt;"",H136,IFERROR(VLOOKUP(C136,'Périodicités'!$A:$C,3,FALSE),""))))</f>
      </c>
      <c r="J136" s="9">
        <f>IF(I136="","",I136-TODAY())</f>
      </c>
      <c r="K136" s="7">
        <f>IF(B136&amp;C136="","",IF(F136="","Date à saisir",IF(I136="","Périodicité à confirmer",IF(J136&lt;0,"En retard",IF(J136&lt;=30,"À planifier","À jour")))))</f>
      </c>
      <c r="L136" s="5"/>
      <c r="M136" s="5"/>
      <c r="N136" s="5"/>
      <c r="O136" s="10"/>
    </row>
    <row r="137" spans="1:15" x14ac:dyDescent="0.25">
      <c r="A137" s="5">
        <v>133</v>
      </c>
      <c r="B137" s="5"/>
      <c r="C137" s="5"/>
      <c r="D137" s="5"/>
      <c r="E137" s="5"/>
      <c r="F137" s="6"/>
      <c r="G137" s="7">
        <f>IF(C137="","",IFERROR(VLOOKUP(C137,'Périodicités'!$A:$B,2,FALSE),""))</f>
      </c>
      <c r="H137" s="5"/>
      <c r="I137" s="8">
        <f>IF(OR(F137="",NOT(ISNUMBER(IF(H137&lt;&gt;"",H137,IFERROR(VLOOKUP(C137,'Périodicités'!$A:$C,3,FALSE),""))))),"",EDATE(F137,IF(H137&lt;&gt;"",H137,IFERROR(VLOOKUP(C137,'Périodicités'!$A:$C,3,FALSE),""))))</f>
      </c>
      <c r="J137" s="9">
        <f>IF(I137="","",I137-TODAY())</f>
      </c>
      <c r="K137" s="7">
        <f>IF(B137&amp;C137="","",IF(F137="","Date à saisir",IF(I137="","Périodicité à confirmer",IF(J137&lt;0,"En retard",IF(J137&lt;=30,"À planifier","À jour")))))</f>
      </c>
      <c r="L137" s="5"/>
      <c r="M137" s="5"/>
      <c r="N137" s="5"/>
      <c r="O137" s="10"/>
    </row>
    <row r="138" spans="1:15" x14ac:dyDescent="0.25">
      <c r="A138" s="5">
        <v>134</v>
      </c>
      <c r="B138" s="5"/>
      <c r="C138" s="5"/>
      <c r="D138" s="5"/>
      <c r="E138" s="5"/>
      <c r="F138" s="6"/>
      <c r="G138" s="7">
        <f>IF(C138="","",IFERROR(VLOOKUP(C138,'Périodicités'!$A:$B,2,FALSE),""))</f>
      </c>
      <c r="H138" s="5"/>
      <c r="I138" s="8">
        <f>IF(OR(F138="",NOT(ISNUMBER(IF(H138&lt;&gt;"",H138,IFERROR(VLOOKUP(C138,'Périodicités'!$A:$C,3,FALSE),""))))),"",EDATE(F138,IF(H138&lt;&gt;"",H138,IFERROR(VLOOKUP(C138,'Périodicités'!$A:$C,3,FALSE),""))))</f>
      </c>
      <c r="J138" s="9">
        <f>IF(I138="","",I138-TODAY())</f>
      </c>
      <c r="K138" s="7">
        <f>IF(B138&amp;C138="","",IF(F138="","Date à saisir",IF(I138="","Périodicité à confirmer",IF(J138&lt;0,"En retard",IF(J138&lt;=30,"À planifier","À jour")))))</f>
      </c>
      <c r="L138" s="5"/>
      <c r="M138" s="5"/>
      <c r="N138" s="5"/>
      <c r="O138" s="10"/>
    </row>
    <row r="139" spans="1:15" x14ac:dyDescent="0.25">
      <c r="A139" s="5">
        <v>135</v>
      </c>
      <c r="B139" s="5"/>
      <c r="C139" s="5"/>
      <c r="D139" s="5"/>
      <c r="E139" s="5"/>
      <c r="F139" s="6"/>
      <c r="G139" s="7">
        <f>IF(C139="","",IFERROR(VLOOKUP(C139,'Périodicités'!$A:$B,2,FALSE),""))</f>
      </c>
      <c r="H139" s="5"/>
      <c r="I139" s="8">
        <f>IF(OR(F139="",NOT(ISNUMBER(IF(H139&lt;&gt;"",H139,IFERROR(VLOOKUP(C139,'Périodicités'!$A:$C,3,FALSE),""))))),"",EDATE(F139,IF(H139&lt;&gt;"",H139,IFERROR(VLOOKUP(C139,'Périodicités'!$A:$C,3,FALSE),""))))</f>
      </c>
      <c r="J139" s="9">
        <f>IF(I139="","",I139-TODAY())</f>
      </c>
      <c r="K139" s="7">
        <f>IF(B139&amp;C139="","",IF(F139="","Date à saisir",IF(I139="","Périodicité à confirmer",IF(J139&lt;0,"En retard",IF(J139&lt;=30,"À planifier","À jour")))))</f>
      </c>
      <c r="L139" s="5"/>
      <c r="M139" s="5"/>
      <c r="N139" s="5"/>
      <c r="O139" s="10"/>
    </row>
    <row r="140" spans="1:15" x14ac:dyDescent="0.25">
      <c r="A140" s="5">
        <v>136</v>
      </c>
      <c r="B140" s="5"/>
      <c r="C140" s="5"/>
      <c r="D140" s="5"/>
      <c r="E140" s="5"/>
      <c r="F140" s="6"/>
      <c r="G140" s="7">
        <f>IF(C140="","",IFERROR(VLOOKUP(C140,'Périodicités'!$A:$B,2,FALSE),""))</f>
      </c>
      <c r="H140" s="5"/>
      <c r="I140" s="8">
        <f>IF(OR(F140="",NOT(ISNUMBER(IF(H140&lt;&gt;"",H140,IFERROR(VLOOKUP(C140,'Périodicités'!$A:$C,3,FALSE),""))))),"",EDATE(F140,IF(H140&lt;&gt;"",H140,IFERROR(VLOOKUP(C140,'Périodicités'!$A:$C,3,FALSE),""))))</f>
      </c>
      <c r="J140" s="9">
        <f>IF(I140="","",I140-TODAY())</f>
      </c>
      <c r="K140" s="7">
        <f>IF(B140&amp;C140="","",IF(F140="","Date à saisir",IF(I140="","Périodicité à confirmer",IF(J140&lt;0,"En retard",IF(J140&lt;=30,"À planifier","À jour")))))</f>
      </c>
      <c r="L140" s="5"/>
      <c r="M140" s="5"/>
      <c r="N140" s="5"/>
      <c r="O140" s="10"/>
    </row>
    <row r="141" spans="1:15" x14ac:dyDescent="0.25">
      <c r="A141" s="5">
        <v>137</v>
      </c>
      <c r="B141" s="5"/>
      <c r="C141" s="5"/>
      <c r="D141" s="5"/>
      <c r="E141" s="5"/>
      <c r="F141" s="6"/>
      <c r="G141" s="7">
        <f>IF(C141="","",IFERROR(VLOOKUP(C141,'Périodicités'!$A:$B,2,FALSE),""))</f>
      </c>
      <c r="H141" s="5"/>
      <c r="I141" s="8">
        <f>IF(OR(F141="",NOT(ISNUMBER(IF(H141&lt;&gt;"",H141,IFERROR(VLOOKUP(C141,'Périodicités'!$A:$C,3,FALSE),""))))),"",EDATE(F141,IF(H141&lt;&gt;"",H141,IFERROR(VLOOKUP(C141,'Périodicités'!$A:$C,3,FALSE),""))))</f>
      </c>
      <c r="J141" s="9">
        <f>IF(I141="","",I141-TODAY())</f>
      </c>
      <c r="K141" s="7">
        <f>IF(B141&amp;C141="","",IF(F141="","Date à saisir",IF(I141="","Périodicité à confirmer",IF(J141&lt;0,"En retard",IF(J141&lt;=30,"À planifier","À jour")))))</f>
      </c>
      <c r="L141" s="5"/>
      <c r="M141" s="5"/>
      <c r="N141" s="5"/>
      <c r="O141" s="10"/>
    </row>
    <row r="142" spans="1:15" x14ac:dyDescent="0.25">
      <c r="A142" s="5">
        <v>138</v>
      </c>
      <c r="B142" s="5"/>
      <c r="C142" s="5"/>
      <c r="D142" s="5"/>
      <c r="E142" s="5"/>
      <c r="F142" s="6"/>
      <c r="G142" s="7">
        <f>IF(C142="","",IFERROR(VLOOKUP(C142,'Périodicités'!$A:$B,2,FALSE),""))</f>
      </c>
      <c r="H142" s="5"/>
      <c r="I142" s="8">
        <f>IF(OR(F142="",NOT(ISNUMBER(IF(H142&lt;&gt;"",H142,IFERROR(VLOOKUP(C142,'Périodicités'!$A:$C,3,FALSE),""))))),"",EDATE(F142,IF(H142&lt;&gt;"",H142,IFERROR(VLOOKUP(C142,'Périodicités'!$A:$C,3,FALSE),""))))</f>
      </c>
      <c r="J142" s="9">
        <f>IF(I142="","",I142-TODAY())</f>
      </c>
      <c r="K142" s="7">
        <f>IF(B142&amp;C142="","",IF(F142="","Date à saisir",IF(I142="","Périodicité à confirmer",IF(J142&lt;0,"En retard",IF(J142&lt;=30,"À planifier","À jour")))))</f>
      </c>
      <c r="L142" s="5"/>
      <c r="M142" s="5"/>
      <c r="N142" s="5"/>
      <c r="O142" s="10"/>
    </row>
    <row r="143" spans="1:15" x14ac:dyDescent="0.25">
      <c r="A143" s="5">
        <v>139</v>
      </c>
      <c r="B143" s="5"/>
      <c r="C143" s="5"/>
      <c r="D143" s="5"/>
      <c r="E143" s="5"/>
      <c r="F143" s="6"/>
      <c r="G143" s="7">
        <f>IF(C143="","",IFERROR(VLOOKUP(C143,'Périodicités'!$A:$B,2,FALSE),""))</f>
      </c>
      <c r="H143" s="5"/>
      <c r="I143" s="8">
        <f>IF(OR(F143="",NOT(ISNUMBER(IF(H143&lt;&gt;"",H143,IFERROR(VLOOKUP(C143,'Périodicités'!$A:$C,3,FALSE),""))))),"",EDATE(F143,IF(H143&lt;&gt;"",H143,IFERROR(VLOOKUP(C143,'Périodicités'!$A:$C,3,FALSE),""))))</f>
      </c>
      <c r="J143" s="9">
        <f>IF(I143="","",I143-TODAY())</f>
      </c>
      <c r="K143" s="7">
        <f>IF(B143&amp;C143="","",IF(F143="","Date à saisir",IF(I143="","Périodicité à confirmer",IF(J143&lt;0,"En retard",IF(J143&lt;=30,"À planifier","À jour")))))</f>
      </c>
      <c r="L143" s="5"/>
      <c r="M143" s="5"/>
      <c r="N143" s="5"/>
      <c r="O143" s="10"/>
    </row>
    <row r="144" spans="1:15" x14ac:dyDescent="0.25">
      <c r="A144" s="5">
        <v>140</v>
      </c>
      <c r="B144" s="5"/>
      <c r="C144" s="5"/>
      <c r="D144" s="5"/>
      <c r="E144" s="5"/>
      <c r="F144" s="6"/>
      <c r="G144" s="7">
        <f>IF(C144="","",IFERROR(VLOOKUP(C144,'Périodicités'!$A:$B,2,FALSE),""))</f>
      </c>
      <c r="H144" s="5"/>
      <c r="I144" s="8">
        <f>IF(OR(F144="",NOT(ISNUMBER(IF(H144&lt;&gt;"",H144,IFERROR(VLOOKUP(C144,'Périodicités'!$A:$C,3,FALSE),""))))),"",EDATE(F144,IF(H144&lt;&gt;"",H144,IFERROR(VLOOKUP(C144,'Périodicités'!$A:$C,3,FALSE),""))))</f>
      </c>
      <c r="J144" s="9">
        <f>IF(I144="","",I144-TODAY())</f>
      </c>
      <c r="K144" s="7">
        <f>IF(B144&amp;C144="","",IF(F144="","Date à saisir",IF(I144="","Périodicité à confirmer",IF(J144&lt;0,"En retard",IF(J144&lt;=30,"À planifier","À jour")))))</f>
      </c>
      <c r="L144" s="5"/>
      <c r="M144" s="5"/>
      <c r="N144" s="5"/>
      <c r="O144" s="10"/>
    </row>
    <row r="145" spans="1:15" x14ac:dyDescent="0.25">
      <c r="A145" s="5">
        <v>141</v>
      </c>
      <c r="B145" s="5"/>
      <c r="C145" s="5"/>
      <c r="D145" s="5"/>
      <c r="E145" s="5"/>
      <c r="F145" s="6"/>
      <c r="G145" s="7">
        <f>IF(C145="","",IFERROR(VLOOKUP(C145,'Périodicités'!$A:$B,2,FALSE),""))</f>
      </c>
      <c r="H145" s="5"/>
      <c r="I145" s="8">
        <f>IF(OR(F145="",NOT(ISNUMBER(IF(H145&lt;&gt;"",H145,IFERROR(VLOOKUP(C145,'Périodicités'!$A:$C,3,FALSE),""))))),"",EDATE(F145,IF(H145&lt;&gt;"",H145,IFERROR(VLOOKUP(C145,'Périodicités'!$A:$C,3,FALSE),""))))</f>
      </c>
      <c r="J145" s="9">
        <f>IF(I145="","",I145-TODAY())</f>
      </c>
      <c r="K145" s="7">
        <f>IF(B145&amp;C145="","",IF(F145="","Date à saisir",IF(I145="","Périodicité à confirmer",IF(J145&lt;0,"En retard",IF(J145&lt;=30,"À planifier","À jour")))))</f>
      </c>
      <c r="L145" s="5"/>
      <c r="M145" s="5"/>
      <c r="N145" s="5"/>
      <c r="O145" s="10"/>
    </row>
    <row r="146" spans="1:15" x14ac:dyDescent="0.25">
      <c r="A146" s="5">
        <v>142</v>
      </c>
      <c r="B146" s="5"/>
      <c r="C146" s="5"/>
      <c r="D146" s="5"/>
      <c r="E146" s="5"/>
      <c r="F146" s="6"/>
      <c r="G146" s="7">
        <f>IF(C146="","",IFERROR(VLOOKUP(C146,'Périodicités'!$A:$B,2,FALSE),""))</f>
      </c>
      <c r="H146" s="5"/>
      <c r="I146" s="8">
        <f>IF(OR(F146="",NOT(ISNUMBER(IF(H146&lt;&gt;"",H146,IFERROR(VLOOKUP(C146,'Périodicités'!$A:$C,3,FALSE),""))))),"",EDATE(F146,IF(H146&lt;&gt;"",H146,IFERROR(VLOOKUP(C146,'Périodicités'!$A:$C,3,FALSE),""))))</f>
      </c>
      <c r="J146" s="9">
        <f>IF(I146="","",I146-TODAY())</f>
      </c>
      <c r="K146" s="7">
        <f>IF(B146&amp;C146="","",IF(F146="","Date à saisir",IF(I146="","Périodicité à confirmer",IF(J146&lt;0,"En retard",IF(J146&lt;=30,"À planifier","À jour")))))</f>
      </c>
      <c r="L146" s="5"/>
      <c r="M146" s="5"/>
      <c r="N146" s="5"/>
      <c r="O146" s="10"/>
    </row>
    <row r="147" spans="1:15" x14ac:dyDescent="0.25">
      <c r="A147" s="5">
        <v>143</v>
      </c>
      <c r="B147" s="5"/>
      <c r="C147" s="5"/>
      <c r="D147" s="5"/>
      <c r="E147" s="5"/>
      <c r="F147" s="6"/>
      <c r="G147" s="7">
        <f>IF(C147="","",IFERROR(VLOOKUP(C147,'Périodicités'!$A:$B,2,FALSE),""))</f>
      </c>
      <c r="H147" s="5"/>
      <c r="I147" s="8">
        <f>IF(OR(F147="",NOT(ISNUMBER(IF(H147&lt;&gt;"",H147,IFERROR(VLOOKUP(C147,'Périodicités'!$A:$C,3,FALSE),""))))),"",EDATE(F147,IF(H147&lt;&gt;"",H147,IFERROR(VLOOKUP(C147,'Périodicités'!$A:$C,3,FALSE),""))))</f>
      </c>
      <c r="J147" s="9">
        <f>IF(I147="","",I147-TODAY())</f>
      </c>
      <c r="K147" s="7">
        <f>IF(B147&amp;C147="","",IF(F147="","Date à saisir",IF(I147="","Périodicité à confirmer",IF(J147&lt;0,"En retard",IF(J147&lt;=30,"À planifier","À jour")))))</f>
      </c>
      <c r="L147" s="5"/>
      <c r="M147" s="5"/>
      <c r="N147" s="5"/>
      <c r="O147" s="10"/>
    </row>
    <row r="148" spans="1:15" x14ac:dyDescent="0.25">
      <c r="A148" s="5">
        <v>144</v>
      </c>
      <c r="B148" s="5"/>
      <c r="C148" s="5"/>
      <c r="D148" s="5"/>
      <c r="E148" s="5"/>
      <c r="F148" s="6"/>
      <c r="G148" s="7">
        <f>IF(C148="","",IFERROR(VLOOKUP(C148,'Périodicités'!$A:$B,2,FALSE),""))</f>
      </c>
      <c r="H148" s="5"/>
      <c r="I148" s="8">
        <f>IF(OR(F148="",NOT(ISNUMBER(IF(H148&lt;&gt;"",H148,IFERROR(VLOOKUP(C148,'Périodicités'!$A:$C,3,FALSE),""))))),"",EDATE(F148,IF(H148&lt;&gt;"",H148,IFERROR(VLOOKUP(C148,'Périodicités'!$A:$C,3,FALSE),""))))</f>
      </c>
      <c r="J148" s="9">
        <f>IF(I148="","",I148-TODAY())</f>
      </c>
      <c r="K148" s="7">
        <f>IF(B148&amp;C148="","",IF(F148="","Date à saisir",IF(I148="","Périodicité à confirmer",IF(J148&lt;0,"En retard",IF(J148&lt;=30,"À planifier","À jour")))))</f>
      </c>
      <c r="L148" s="5"/>
      <c r="M148" s="5"/>
      <c r="N148" s="5"/>
      <c r="O148" s="10"/>
    </row>
    <row r="149" spans="1:15" x14ac:dyDescent="0.25">
      <c r="A149" s="5">
        <v>145</v>
      </c>
      <c r="B149" s="5"/>
      <c r="C149" s="5"/>
      <c r="D149" s="5"/>
      <c r="E149" s="5"/>
      <c r="F149" s="6"/>
      <c r="G149" s="7">
        <f>IF(C149="","",IFERROR(VLOOKUP(C149,'Périodicités'!$A:$B,2,FALSE),""))</f>
      </c>
      <c r="H149" s="5"/>
      <c r="I149" s="8">
        <f>IF(OR(F149="",NOT(ISNUMBER(IF(H149&lt;&gt;"",H149,IFERROR(VLOOKUP(C149,'Périodicités'!$A:$C,3,FALSE),""))))),"",EDATE(F149,IF(H149&lt;&gt;"",H149,IFERROR(VLOOKUP(C149,'Périodicités'!$A:$C,3,FALSE),""))))</f>
      </c>
      <c r="J149" s="9">
        <f>IF(I149="","",I149-TODAY())</f>
      </c>
      <c r="K149" s="7">
        <f>IF(B149&amp;C149="","",IF(F149="","Date à saisir",IF(I149="","Périodicité à confirmer",IF(J149&lt;0,"En retard",IF(J149&lt;=30,"À planifier","À jour")))))</f>
      </c>
      <c r="L149" s="5"/>
      <c r="M149" s="5"/>
      <c r="N149" s="5"/>
      <c r="O149" s="10"/>
    </row>
    <row r="150" spans="1:15" x14ac:dyDescent="0.25">
      <c r="A150" s="5">
        <v>146</v>
      </c>
      <c r="B150" s="5"/>
      <c r="C150" s="5"/>
      <c r="D150" s="5"/>
      <c r="E150" s="5"/>
      <c r="F150" s="6"/>
      <c r="G150" s="7">
        <f>IF(C150="","",IFERROR(VLOOKUP(C150,'Périodicités'!$A:$B,2,FALSE),""))</f>
      </c>
      <c r="H150" s="5"/>
      <c r="I150" s="8">
        <f>IF(OR(F150="",NOT(ISNUMBER(IF(H150&lt;&gt;"",H150,IFERROR(VLOOKUP(C150,'Périodicités'!$A:$C,3,FALSE),""))))),"",EDATE(F150,IF(H150&lt;&gt;"",H150,IFERROR(VLOOKUP(C150,'Périodicités'!$A:$C,3,FALSE),""))))</f>
      </c>
      <c r="J150" s="9">
        <f>IF(I150="","",I150-TODAY())</f>
      </c>
      <c r="K150" s="7">
        <f>IF(B150&amp;C150="","",IF(F150="","Date à saisir",IF(I150="","Périodicité à confirmer",IF(J150&lt;0,"En retard",IF(J150&lt;=30,"À planifier","À jour")))))</f>
      </c>
      <c r="L150" s="5"/>
      <c r="M150" s="5"/>
      <c r="N150" s="5"/>
      <c r="O150" s="10"/>
    </row>
    <row r="151" spans="1:15" x14ac:dyDescent="0.25">
      <c r="A151" s="5">
        <v>147</v>
      </c>
      <c r="B151" s="5"/>
      <c r="C151" s="5"/>
      <c r="D151" s="5"/>
      <c r="E151" s="5"/>
      <c r="F151" s="6"/>
      <c r="G151" s="7">
        <f>IF(C151="","",IFERROR(VLOOKUP(C151,'Périodicités'!$A:$B,2,FALSE),""))</f>
      </c>
      <c r="H151" s="5"/>
      <c r="I151" s="8">
        <f>IF(OR(F151="",NOT(ISNUMBER(IF(H151&lt;&gt;"",H151,IFERROR(VLOOKUP(C151,'Périodicités'!$A:$C,3,FALSE),""))))),"",EDATE(F151,IF(H151&lt;&gt;"",H151,IFERROR(VLOOKUP(C151,'Périodicités'!$A:$C,3,FALSE),""))))</f>
      </c>
      <c r="J151" s="9">
        <f>IF(I151="","",I151-TODAY())</f>
      </c>
      <c r="K151" s="7">
        <f>IF(B151&amp;C151="","",IF(F151="","Date à saisir",IF(I151="","Périodicité à confirmer",IF(J151&lt;0,"En retard",IF(J151&lt;=30,"À planifier","À jour")))))</f>
      </c>
      <c r="L151" s="5"/>
      <c r="M151" s="5"/>
      <c r="N151" s="5"/>
      <c r="O151" s="10"/>
    </row>
    <row r="152" spans="1:15" x14ac:dyDescent="0.25">
      <c r="A152" s="5">
        <v>148</v>
      </c>
      <c r="B152" s="5"/>
      <c r="C152" s="5"/>
      <c r="D152" s="5"/>
      <c r="E152" s="5"/>
      <c r="F152" s="6"/>
      <c r="G152" s="7">
        <f>IF(C152="","",IFERROR(VLOOKUP(C152,'Périodicités'!$A:$B,2,FALSE),""))</f>
      </c>
      <c r="H152" s="5"/>
      <c r="I152" s="8">
        <f>IF(OR(F152="",NOT(ISNUMBER(IF(H152&lt;&gt;"",H152,IFERROR(VLOOKUP(C152,'Périodicités'!$A:$C,3,FALSE),""))))),"",EDATE(F152,IF(H152&lt;&gt;"",H152,IFERROR(VLOOKUP(C152,'Périodicités'!$A:$C,3,FALSE),""))))</f>
      </c>
      <c r="J152" s="9">
        <f>IF(I152="","",I152-TODAY())</f>
      </c>
      <c r="K152" s="7">
        <f>IF(B152&amp;C152="","",IF(F152="","Date à saisir",IF(I152="","Périodicité à confirmer",IF(J152&lt;0,"En retard",IF(J152&lt;=30,"À planifier","À jour")))))</f>
      </c>
      <c r="L152" s="5"/>
      <c r="M152" s="5"/>
      <c r="N152" s="5"/>
      <c r="O152" s="10"/>
    </row>
    <row r="153" spans="1:15" x14ac:dyDescent="0.25">
      <c r="A153" s="5">
        <v>149</v>
      </c>
      <c r="B153" s="5"/>
      <c r="C153" s="5"/>
      <c r="D153" s="5"/>
      <c r="E153" s="5"/>
      <c r="F153" s="6"/>
      <c r="G153" s="7">
        <f>IF(C153="","",IFERROR(VLOOKUP(C153,'Périodicités'!$A:$B,2,FALSE),""))</f>
      </c>
      <c r="H153" s="5"/>
      <c r="I153" s="8">
        <f>IF(OR(F153="",NOT(ISNUMBER(IF(H153&lt;&gt;"",H153,IFERROR(VLOOKUP(C153,'Périodicités'!$A:$C,3,FALSE),""))))),"",EDATE(F153,IF(H153&lt;&gt;"",H153,IFERROR(VLOOKUP(C153,'Périodicités'!$A:$C,3,FALSE),""))))</f>
      </c>
      <c r="J153" s="9">
        <f>IF(I153="","",I153-TODAY())</f>
      </c>
      <c r="K153" s="7">
        <f>IF(B153&amp;C153="","",IF(F153="","Date à saisir",IF(I153="","Périodicité à confirmer",IF(J153&lt;0,"En retard",IF(J153&lt;=30,"À planifier","À jour")))))</f>
      </c>
      <c r="L153" s="5"/>
      <c r="M153" s="5"/>
      <c r="N153" s="5"/>
      <c r="O153" s="10"/>
    </row>
    <row r="154" spans="1:15" x14ac:dyDescent="0.25">
      <c r="A154" s="5">
        <v>150</v>
      </c>
      <c r="B154" s="5"/>
      <c r="C154" s="5"/>
      <c r="D154" s="5"/>
      <c r="E154" s="5"/>
      <c r="F154" s="6"/>
      <c r="G154" s="7">
        <f>IF(C154="","",IFERROR(VLOOKUP(C154,'Périodicités'!$A:$B,2,FALSE),""))</f>
      </c>
      <c r="H154" s="5"/>
      <c r="I154" s="8">
        <f>IF(OR(F154="",NOT(ISNUMBER(IF(H154&lt;&gt;"",H154,IFERROR(VLOOKUP(C154,'Périodicités'!$A:$C,3,FALSE),""))))),"",EDATE(F154,IF(H154&lt;&gt;"",H154,IFERROR(VLOOKUP(C154,'Périodicités'!$A:$C,3,FALSE),""))))</f>
      </c>
      <c r="J154" s="9">
        <f>IF(I154="","",I154-TODAY())</f>
      </c>
      <c r="K154" s="7">
        <f>IF(B154&amp;C154="","",IF(F154="","Date à saisir",IF(I154="","Périodicité à confirmer",IF(J154&lt;0,"En retard",IF(J154&lt;=30,"À planifier","À jour")))))</f>
      </c>
      <c r="L154" s="5"/>
      <c r="M154" s="5"/>
      <c r="N154" s="5"/>
      <c r="O154" s="10"/>
    </row>
    <row r="155" spans="1:15" x14ac:dyDescent="0.25">
      <c r="A155" s="5">
        <v>151</v>
      </c>
      <c r="B155" s="5"/>
      <c r="C155" s="5"/>
      <c r="D155" s="5"/>
      <c r="E155" s="5"/>
      <c r="F155" s="6"/>
      <c r="G155" s="7">
        <f>IF(C155="","",IFERROR(VLOOKUP(C155,'Périodicités'!$A:$B,2,FALSE),""))</f>
      </c>
      <c r="H155" s="5"/>
      <c r="I155" s="8">
        <f>IF(OR(F155="",NOT(ISNUMBER(IF(H155&lt;&gt;"",H155,IFERROR(VLOOKUP(C155,'Périodicités'!$A:$C,3,FALSE),""))))),"",EDATE(F155,IF(H155&lt;&gt;"",H155,IFERROR(VLOOKUP(C155,'Périodicités'!$A:$C,3,FALSE),""))))</f>
      </c>
      <c r="J155" s="9">
        <f>IF(I155="","",I155-TODAY())</f>
      </c>
      <c r="K155" s="7">
        <f>IF(B155&amp;C155="","",IF(F155="","Date à saisir",IF(I155="","Périodicité à confirmer",IF(J155&lt;0,"En retard",IF(J155&lt;=30,"À planifier","À jour")))))</f>
      </c>
      <c r="L155" s="5"/>
      <c r="M155" s="5"/>
      <c r="N155" s="5"/>
      <c r="O155" s="10"/>
    </row>
    <row r="156" spans="1:15" x14ac:dyDescent="0.25">
      <c r="A156" s="5">
        <v>152</v>
      </c>
      <c r="B156" s="5"/>
      <c r="C156" s="5"/>
      <c r="D156" s="5"/>
      <c r="E156" s="5"/>
      <c r="F156" s="6"/>
      <c r="G156" s="7">
        <f>IF(C156="","",IFERROR(VLOOKUP(C156,'Périodicités'!$A:$B,2,FALSE),""))</f>
      </c>
      <c r="H156" s="5"/>
      <c r="I156" s="8">
        <f>IF(OR(F156="",NOT(ISNUMBER(IF(H156&lt;&gt;"",H156,IFERROR(VLOOKUP(C156,'Périodicités'!$A:$C,3,FALSE),""))))),"",EDATE(F156,IF(H156&lt;&gt;"",H156,IFERROR(VLOOKUP(C156,'Périodicités'!$A:$C,3,FALSE),""))))</f>
      </c>
      <c r="J156" s="9">
        <f>IF(I156="","",I156-TODAY())</f>
      </c>
      <c r="K156" s="7">
        <f>IF(B156&amp;C156="","",IF(F156="","Date à saisir",IF(I156="","Périodicité à confirmer",IF(J156&lt;0,"En retard",IF(J156&lt;=30,"À planifier","À jour")))))</f>
      </c>
      <c r="L156" s="5"/>
      <c r="M156" s="5"/>
      <c r="N156" s="5"/>
      <c r="O156" s="10"/>
    </row>
    <row r="157" spans="1:15" x14ac:dyDescent="0.25">
      <c r="A157" s="5">
        <v>153</v>
      </c>
      <c r="B157" s="5"/>
      <c r="C157" s="5"/>
      <c r="D157" s="5"/>
      <c r="E157" s="5"/>
      <c r="F157" s="6"/>
      <c r="G157" s="7">
        <f>IF(C157="","",IFERROR(VLOOKUP(C157,'Périodicités'!$A:$B,2,FALSE),""))</f>
      </c>
      <c r="H157" s="5"/>
      <c r="I157" s="8">
        <f>IF(OR(F157="",NOT(ISNUMBER(IF(H157&lt;&gt;"",H157,IFERROR(VLOOKUP(C157,'Périodicités'!$A:$C,3,FALSE),""))))),"",EDATE(F157,IF(H157&lt;&gt;"",H157,IFERROR(VLOOKUP(C157,'Périodicités'!$A:$C,3,FALSE),""))))</f>
      </c>
      <c r="J157" s="9">
        <f>IF(I157="","",I157-TODAY())</f>
      </c>
      <c r="K157" s="7">
        <f>IF(B157&amp;C157="","",IF(F157="","Date à saisir",IF(I157="","Périodicité à confirmer",IF(J157&lt;0,"En retard",IF(J157&lt;=30,"À planifier","À jour")))))</f>
      </c>
      <c r="L157" s="5"/>
      <c r="M157" s="5"/>
      <c r="N157" s="5"/>
      <c r="O157" s="10"/>
    </row>
    <row r="158" spans="1:15" x14ac:dyDescent="0.25">
      <c r="A158" s="5">
        <v>154</v>
      </c>
      <c r="B158" s="5"/>
      <c r="C158" s="5"/>
      <c r="D158" s="5"/>
      <c r="E158" s="5"/>
      <c r="F158" s="6"/>
      <c r="G158" s="7">
        <f>IF(C158="","",IFERROR(VLOOKUP(C158,'Périodicités'!$A:$B,2,FALSE),""))</f>
      </c>
      <c r="H158" s="5"/>
      <c r="I158" s="8">
        <f>IF(OR(F158="",NOT(ISNUMBER(IF(H158&lt;&gt;"",H158,IFERROR(VLOOKUP(C158,'Périodicités'!$A:$C,3,FALSE),""))))),"",EDATE(F158,IF(H158&lt;&gt;"",H158,IFERROR(VLOOKUP(C158,'Périodicités'!$A:$C,3,FALSE),""))))</f>
      </c>
      <c r="J158" s="9">
        <f>IF(I158="","",I158-TODAY())</f>
      </c>
      <c r="K158" s="7">
        <f>IF(B158&amp;C158="","",IF(F158="","Date à saisir",IF(I158="","Périodicité à confirmer",IF(J158&lt;0,"En retard",IF(J158&lt;=30,"À planifier","À jour")))))</f>
      </c>
      <c r="L158" s="5"/>
      <c r="M158" s="5"/>
      <c r="N158" s="5"/>
      <c r="O158" s="10"/>
    </row>
    <row r="159" spans="1:15" x14ac:dyDescent="0.25">
      <c r="A159" s="5">
        <v>155</v>
      </c>
      <c r="B159" s="5"/>
      <c r="C159" s="5"/>
      <c r="D159" s="5"/>
      <c r="E159" s="5"/>
      <c r="F159" s="6"/>
      <c r="G159" s="7">
        <f>IF(C159="","",IFERROR(VLOOKUP(C159,'Périodicités'!$A:$B,2,FALSE),""))</f>
      </c>
      <c r="H159" s="5"/>
      <c r="I159" s="8">
        <f>IF(OR(F159="",NOT(ISNUMBER(IF(H159&lt;&gt;"",H159,IFERROR(VLOOKUP(C159,'Périodicités'!$A:$C,3,FALSE),""))))),"",EDATE(F159,IF(H159&lt;&gt;"",H159,IFERROR(VLOOKUP(C159,'Périodicités'!$A:$C,3,FALSE),""))))</f>
      </c>
      <c r="J159" s="9">
        <f>IF(I159="","",I159-TODAY())</f>
      </c>
      <c r="K159" s="7">
        <f>IF(B159&amp;C159="","",IF(F159="","Date à saisir",IF(I159="","Périodicité à confirmer",IF(J159&lt;0,"En retard",IF(J159&lt;=30,"À planifier","À jour")))))</f>
      </c>
      <c r="L159" s="5"/>
      <c r="M159" s="5"/>
      <c r="N159" s="5"/>
      <c r="O159" s="10"/>
    </row>
    <row r="160" spans="1:15" x14ac:dyDescent="0.25">
      <c r="A160" s="5">
        <v>156</v>
      </c>
      <c r="B160" s="5"/>
      <c r="C160" s="5"/>
      <c r="D160" s="5"/>
      <c r="E160" s="5"/>
      <c r="F160" s="6"/>
      <c r="G160" s="7">
        <f>IF(C160="","",IFERROR(VLOOKUP(C160,'Périodicités'!$A:$B,2,FALSE),""))</f>
      </c>
      <c r="H160" s="5"/>
      <c r="I160" s="8">
        <f>IF(OR(F160="",NOT(ISNUMBER(IF(H160&lt;&gt;"",H160,IFERROR(VLOOKUP(C160,'Périodicités'!$A:$C,3,FALSE),""))))),"",EDATE(F160,IF(H160&lt;&gt;"",H160,IFERROR(VLOOKUP(C160,'Périodicités'!$A:$C,3,FALSE),""))))</f>
      </c>
      <c r="J160" s="9">
        <f>IF(I160="","",I160-TODAY())</f>
      </c>
      <c r="K160" s="7">
        <f>IF(B160&amp;C160="","",IF(F160="","Date à saisir",IF(I160="","Périodicité à confirmer",IF(J160&lt;0,"En retard",IF(J160&lt;=30,"À planifier","À jour")))))</f>
      </c>
      <c r="L160" s="5"/>
      <c r="M160" s="5"/>
      <c r="N160" s="5"/>
      <c r="O160" s="10"/>
    </row>
    <row r="161" spans="1:15" x14ac:dyDescent="0.25">
      <c r="A161" s="5">
        <v>157</v>
      </c>
      <c r="B161" s="5"/>
      <c r="C161" s="5"/>
      <c r="D161" s="5"/>
      <c r="E161" s="5"/>
      <c r="F161" s="6"/>
      <c r="G161" s="7">
        <f>IF(C161="","",IFERROR(VLOOKUP(C161,'Périodicités'!$A:$B,2,FALSE),""))</f>
      </c>
      <c r="H161" s="5"/>
      <c r="I161" s="8">
        <f>IF(OR(F161="",NOT(ISNUMBER(IF(H161&lt;&gt;"",H161,IFERROR(VLOOKUP(C161,'Périodicités'!$A:$C,3,FALSE),""))))),"",EDATE(F161,IF(H161&lt;&gt;"",H161,IFERROR(VLOOKUP(C161,'Périodicités'!$A:$C,3,FALSE),""))))</f>
      </c>
      <c r="J161" s="9">
        <f>IF(I161="","",I161-TODAY())</f>
      </c>
      <c r="K161" s="7">
        <f>IF(B161&amp;C161="","",IF(F161="","Date à saisir",IF(I161="","Périodicité à confirmer",IF(J161&lt;0,"En retard",IF(J161&lt;=30,"À planifier","À jour")))))</f>
      </c>
      <c r="L161" s="5"/>
      <c r="M161" s="5"/>
      <c r="N161" s="5"/>
      <c r="O161" s="10"/>
    </row>
    <row r="162" spans="1:15" x14ac:dyDescent="0.25">
      <c r="A162" s="5">
        <v>158</v>
      </c>
      <c r="B162" s="5"/>
      <c r="C162" s="5"/>
      <c r="D162" s="5"/>
      <c r="E162" s="5"/>
      <c r="F162" s="6"/>
      <c r="G162" s="7">
        <f>IF(C162="","",IFERROR(VLOOKUP(C162,'Périodicités'!$A:$B,2,FALSE),""))</f>
      </c>
      <c r="H162" s="5"/>
      <c r="I162" s="8">
        <f>IF(OR(F162="",NOT(ISNUMBER(IF(H162&lt;&gt;"",H162,IFERROR(VLOOKUP(C162,'Périodicités'!$A:$C,3,FALSE),""))))),"",EDATE(F162,IF(H162&lt;&gt;"",H162,IFERROR(VLOOKUP(C162,'Périodicités'!$A:$C,3,FALSE),""))))</f>
      </c>
      <c r="J162" s="9">
        <f>IF(I162="","",I162-TODAY())</f>
      </c>
      <c r="K162" s="7">
        <f>IF(B162&amp;C162="","",IF(F162="","Date à saisir",IF(I162="","Périodicité à confirmer",IF(J162&lt;0,"En retard",IF(J162&lt;=30,"À planifier","À jour")))))</f>
      </c>
      <c r="L162" s="5"/>
      <c r="M162" s="5"/>
      <c r="N162" s="5"/>
      <c r="O162" s="10"/>
    </row>
    <row r="163" spans="1:15" x14ac:dyDescent="0.25">
      <c r="A163" s="5">
        <v>159</v>
      </c>
      <c r="B163" s="5"/>
      <c r="C163" s="5"/>
      <c r="D163" s="5"/>
      <c r="E163" s="5"/>
      <c r="F163" s="6"/>
      <c r="G163" s="7">
        <f>IF(C163="","",IFERROR(VLOOKUP(C163,'Périodicités'!$A:$B,2,FALSE),""))</f>
      </c>
      <c r="H163" s="5"/>
      <c r="I163" s="8">
        <f>IF(OR(F163="",NOT(ISNUMBER(IF(H163&lt;&gt;"",H163,IFERROR(VLOOKUP(C163,'Périodicités'!$A:$C,3,FALSE),""))))),"",EDATE(F163,IF(H163&lt;&gt;"",H163,IFERROR(VLOOKUP(C163,'Périodicités'!$A:$C,3,FALSE),""))))</f>
      </c>
      <c r="J163" s="9">
        <f>IF(I163="","",I163-TODAY())</f>
      </c>
      <c r="K163" s="7">
        <f>IF(B163&amp;C163="","",IF(F163="","Date à saisir",IF(I163="","Périodicité à confirmer",IF(J163&lt;0,"En retard",IF(J163&lt;=30,"À planifier","À jour")))))</f>
      </c>
      <c r="L163" s="5"/>
      <c r="M163" s="5"/>
      <c r="N163" s="5"/>
      <c r="O163" s="10"/>
    </row>
    <row r="164" spans="1:15" x14ac:dyDescent="0.25">
      <c r="A164" s="5">
        <v>160</v>
      </c>
      <c r="B164" s="5"/>
      <c r="C164" s="5"/>
      <c r="D164" s="5"/>
      <c r="E164" s="5"/>
      <c r="F164" s="6"/>
      <c r="G164" s="7">
        <f>IF(C164="","",IFERROR(VLOOKUP(C164,'Périodicités'!$A:$B,2,FALSE),""))</f>
      </c>
      <c r="H164" s="5"/>
      <c r="I164" s="8">
        <f>IF(OR(F164="",NOT(ISNUMBER(IF(H164&lt;&gt;"",H164,IFERROR(VLOOKUP(C164,'Périodicités'!$A:$C,3,FALSE),""))))),"",EDATE(F164,IF(H164&lt;&gt;"",H164,IFERROR(VLOOKUP(C164,'Périodicités'!$A:$C,3,FALSE),""))))</f>
      </c>
      <c r="J164" s="9">
        <f>IF(I164="","",I164-TODAY())</f>
      </c>
      <c r="K164" s="7">
        <f>IF(B164&amp;C164="","",IF(F164="","Date à saisir",IF(I164="","Périodicité à confirmer",IF(J164&lt;0,"En retard",IF(J164&lt;=30,"À planifier","À jour")))))</f>
      </c>
      <c r="L164" s="5"/>
      <c r="M164" s="5"/>
      <c r="N164" s="5"/>
      <c r="O164" s="10"/>
    </row>
    <row r="165" spans="1:15" x14ac:dyDescent="0.25">
      <c r="A165" s="5">
        <v>161</v>
      </c>
      <c r="B165" s="5"/>
      <c r="C165" s="5"/>
      <c r="D165" s="5"/>
      <c r="E165" s="5"/>
      <c r="F165" s="6"/>
      <c r="G165" s="7">
        <f>IF(C165="","",IFERROR(VLOOKUP(C165,'Périodicités'!$A:$B,2,FALSE),""))</f>
      </c>
      <c r="H165" s="5"/>
      <c r="I165" s="8">
        <f>IF(OR(F165="",NOT(ISNUMBER(IF(H165&lt;&gt;"",H165,IFERROR(VLOOKUP(C165,'Périodicités'!$A:$C,3,FALSE),""))))),"",EDATE(F165,IF(H165&lt;&gt;"",H165,IFERROR(VLOOKUP(C165,'Périodicités'!$A:$C,3,FALSE),""))))</f>
      </c>
      <c r="J165" s="9">
        <f>IF(I165="","",I165-TODAY())</f>
      </c>
      <c r="K165" s="7">
        <f>IF(B165&amp;C165="","",IF(F165="","Date à saisir",IF(I165="","Périodicité à confirmer",IF(J165&lt;0,"En retard",IF(J165&lt;=30,"À planifier","À jour")))))</f>
      </c>
      <c r="L165" s="5"/>
      <c r="M165" s="5"/>
      <c r="N165" s="5"/>
      <c r="O165" s="10"/>
    </row>
    <row r="166" spans="1:15" x14ac:dyDescent="0.25">
      <c r="A166" s="5">
        <v>162</v>
      </c>
      <c r="B166" s="5"/>
      <c r="C166" s="5"/>
      <c r="D166" s="5"/>
      <c r="E166" s="5"/>
      <c r="F166" s="6"/>
      <c r="G166" s="7">
        <f>IF(C166="","",IFERROR(VLOOKUP(C166,'Périodicités'!$A:$B,2,FALSE),""))</f>
      </c>
      <c r="H166" s="5"/>
      <c r="I166" s="8">
        <f>IF(OR(F166="",NOT(ISNUMBER(IF(H166&lt;&gt;"",H166,IFERROR(VLOOKUP(C166,'Périodicités'!$A:$C,3,FALSE),""))))),"",EDATE(F166,IF(H166&lt;&gt;"",H166,IFERROR(VLOOKUP(C166,'Périodicités'!$A:$C,3,FALSE),""))))</f>
      </c>
      <c r="J166" s="9">
        <f>IF(I166="","",I166-TODAY())</f>
      </c>
      <c r="K166" s="7">
        <f>IF(B166&amp;C166="","",IF(F166="","Date à saisir",IF(I166="","Périodicité à confirmer",IF(J166&lt;0,"En retard",IF(J166&lt;=30,"À planifier","À jour")))))</f>
      </c>
      <c r="L166" s="5"/>
      <c r="M166" s="5"/>
      <c r="N166" s="5"/>
      <c r="O166" s="10"/>
    </row>
    <row r="167" spans="1:15" x14ac:dyDescent="0.25">
      <c r="A167" s="5">
        <v>163</v>
      </c>
      <c r="B167" s="5"/>
      <c r="C167" s="5"/>
      <c r="D167" s="5"/>
      <c r="E167" s="5"/>
      <c r="F167" s="6"/>
      <c r="G167" s="7">
        <f>IF(C167="","",IFERROR(VLOOKUP(C167,'Périodicités'!$A:$B,2,FALSE),""))</f>
      </c>
      <c r="H167" s="5"/>
      <c r="I167" s="8">
        <f>IF(OR(F167="",NOT(ISNUMBER(IF(H167&lt;&gt;"",H167,IFERROR(VLOOKUP(C167,'Périodicités'!$A:$C,3,FALSE),""))))),"",EDATE(F167,IF(H167&lt;&gt;"",H167,IFERROR(VLOOKUP(C167,'Périodicités'!$A:$C,3,FALSE),""))))</f>
      </c>
      <c r="J167" s="9">
        <f>IF(I167="","",I167-TODAY())</f>
      </c>
      <c r="K167" s="7">
        <f>IF(B167&amp;C167="","",IF(F167="","Date à saisir",IF(I167="","Périodicité à confirmer",IF(J167&lt;0,"En retard",IF(J167&lt;=30,"À planifier","À jour")))))</f>
      </c>
      <c r="L167" s="5"/>
      <c r="M167" s="5"/>
      <c r="N167" s="5"/>
      <c r="O167" s="10"/>
    </row>
    <row r="168" spans="1:15" x14ac:dyDescent="0.25">
      <c r="A168" s="5">
        <v>164</v>
      </c>
      <c r="B168" s="5"/>
      <c r="C168" s="5"/>
      <c r="D168" s="5"/>
      <c r="E168" s="5"/>
      <c r="F168" s="6"/>
      <c r="G168" s="7">
        <f>IF(C168="","",IFERROR(VLOOKUP(C168,'Périodicités'!$A:$B,2,FALSE),""))</f>
      </c>
      <c r="H168" s="5"/>
      <c r="I168" s="8">
        <f>IF(OR(F168="",NOT(ISNUMBER(IF(H168&lt;&gt;"",H168,IFERROR(VLOOKUP(C168,'Périodicités'!$A:$C,3,FALSE),""))))),"",EDATE(F168,IF(H168&lt;&gt;"",H168,IFERROR(VLOOKUP(C168,'Périodicités'!$A:$C,3,FALSE),""))))</f>
      </c>
      <c r="J168" s="9">
        <f>IF(I168="","",I168-TODAY())</f>
      </c>
      <c r="K168" s="7">
        <f>IF(B168&amp;C168="","",IF(F168="","Date à saisir",IF(I168="","Périodicité à confirmer",IF(J168&lt;0,"En retard",IF(J168&lt;=30,"À planifier","À jour")))))</f>
      </c>
      <c r="L168" s="5"/>
      <c r="M168" s="5"/>
      <c r="N168" s="5"/>
      <c r="O168" s="10"/>
    </row>
    <row r="169" spans="1:15" x14ac:dyDescent="0.25">
      <c r="A169" s="5">
        <v>165</v>
      </c>
      <c r="B169" s="5"/>
      <c r="C169" s="5"/>
      <c r="D169" s="5"/>
      <c r="E169" s="5"/>
      <c r="F169" s="6"/>
      <c r="G169" s="7">
        <f>IF(C169="","",IFERROR(VLOOKUP(C169,'Périodicités'!$A:$B,2,FALSE),""))</f>
      </c>
      <c r="H169" s="5"/>
      <c r="I169" s="8">
        <f>IF(OR(F169="",NOT(ISNUMBER(IF(H169&lt;&gt;"",H169,IFERROR(VLOOKUP(C169,'Périodicités'!$A:$C,3,FALSE),""))))),"",EDATE(F169,IF(H169&lt;&gt;"",H169,IFERROR(VLOOKUP(C169,'Périodicités'!$A:$C,3,FALSE),""))))</f>
      </c>
      <c r="J169" s="9">
        <f>IF(I169="","",I169-TODAY())</f>
      </c>
      <c r="K169" s="7">
        <f>IF(B169&amp;C169="","",IF(F169="","Date à saisir",IF(I169="","Périodicité à confirmer",IF(J169&lt;0,"En retard",IF(J169&lt;=30,"À planifier","À jour")))))</f>
      </c>
      <c r="L169" s="5"/>
      <c r="M169" s="5"/>
      <c r="N169" s="5"/>
      <c r="O169" s="10"/>
    </row>
    <row r="170" spans="1:15" x14ac:dyDescent="0.25">
      <c r="A170" s="5">
        <v>166</v>
      </c>
      <c r="B170" s="5"/>
      <c r="C170" s="5"/>
      <c r="D170" s="5"/>
      <c r="E170" s="5"/>
      <c r="F170" s="6"/>
      <c r="G170" s="7">
        <f>IF(C170="","",IFERROR(VLOOKUP(C170,'Périodicités'!$A:$B,2,FALSE),""))</f>
      </c>
      <c r="H170" s="5"/>
      <c r="I170" s="8">
        <f>IF(OR(F170="",NOT(ISNUMBER(IF(H170&lt;&gt;"",H170,IFERROR(VLOOKUP(C170,'Périodicités'!$A:$C,3,FALSE),""))))),"",EDATE(F170,IF(H170&lt;&gt;"",H170,IFERROR(VLOOKUP(C170,'Périodicités'!$A:$C,3,FALSE),""))))</f>
      </c>
      <c r="J170" s="9">
        <f>IF(I170="","",I170-TODAY())</f>
      </c>
      <c r="K170" s="7">
        <f>IF(B170&amp;C170="","",IF(F170="","Date à saisir",IF(I170="","Périodicité à confirmer",IF(J170&lt;0,"En retard",IF(J170&lt;=30,"À planifier","À jour")))))</f>
      </c>
      <c r="L170" s="5"/>
      <c r="M170" s="5"/>
      <c r="N170" s="5"/>
      <c r="O170" s="10"/>
    </row>
    <row r="171" spans="1:15" x14ac:dyDescent="0.25">
      <c r="A171" s="5">
        <v>167</v>
      </c>
      <c r="B171" s="5"/>
      <c r="C171" s="5"/>
      <c r="D171" s="5"/>
      <c r="E171" s="5"/>
      <c r="F171" s="6"/>
      <c r="G171" s="7">
        <f>IF(C171="","",IFERROR(VLOOKUP(C171,'Périodicités'!$A:$B,2,FALSE),""))</f>
      </c>
      <c r="H171" s="5"/>
      <c r="I171" s="8">
        <f>IF(OR(F171="",NOT(ISNUMBER(IF(H171&lt;&gt;"",H171,IFERROR(VLOOKUP(C171,'Périodicités'!$A:$C,3,FALSE),""))))),"",EDATE(F171,IF(H171&lt;&gt;"",H171,IFERROR(VLOOKUP(C171,'Périodicités'!$A:$C,3,FALSE),""))))</f>
      </c>
      <c r="J171" s="9">
        <f>IF(I171="","",I171-TODAY())</f>
      </c>
      <c r="K171" s="7">
        <f>IF(B171&amp;C171="","",IF(F171="","Date à saisir",IF(I171="","Périodicité à confirmer",IF(J171&lt;0,"En retard",IF(J171&lt;=30,"À planifier","À jour")))))</f>
      </c>
      <c r="L171" s="5"/>
      <c r="M171" s="5"/>
      <c r="N171" s="5"/>
      <c r="O171" s="10"/>
    </row>
    <row r="172" spans="1:15" x14ac:dyDescent="0.25">
      <c r="A172" s="5">
        <v>168</v>
      </c>
      <c r="B172" s="5"/>
      <c r="C172" s="5"/>
      <c r="D172" s="5"/>
      <c r="E172" s="5"/>
      <c r="F172" s="6"/>
      <c r="G172" s="7">
        <f>IF(C172="","",IFERROR(VLOOKUP(C172,'Périodicités'!$A:$B,2,FALSE),""))</f>
      </c>
      <c r="H172" s="5"/>
      <c r="I172" s="8">
        <f>IF(OR(F172="",NOT(ISNUMBER(IF(H172&lt;&gt;"",H172,IFERROR(VLOOKUP(C172,'Périodicités'!$A:$C,3,FALSE),""))))),"",EDATE(F172,IF(H172&lt;&gt;"",H172,IFERROR(VLOOKUP(C172,'Périodicités'!$A:$C,3,FALSE),""))))</f>
      </c>
      <c r="J172" s="9">
        <f>IF(I172="","",I172-TODAY())</f>
      </c>
      <c r="K172" s="7">
        <f>IF(B172&amp;C172="","",IF(F172="","Date à saisir",IF(I172="","Périodicité à confirmer",IF(J172&lt;0,"En retard",IF(J172&lt;=30,"À planifier","À jour")))))</f>
      </c>
      <c r="L172" s="5"/>
      <c r="M172" s="5"/>
      <c r="N172" s="5"/>
      <c r="O172" s="10"/>
    </row>
    <row r="173" spans="1:15" x14ac:dyDescent="0.25">
      <c r="A173" s="5">
        <v>169</v>
      </c>
      <c r="B173" s="5"/>
      <c r="C173" s="5"/>
      <c r="D173" s="5"/>
      <c r="E173" s="5"/>
      <c r="F173" s="6"/>
      <c r="G173" s="7">
        <f>IF(C173="","",IFERROR(VLOOKUP(C173,'Périodicités'!$A:$B,2,FALSE),""))</f>
      </c>
      <c r="H173" s="5"/>
      <c r="I173" s="8">
        <f>IF(OR(F173="",NOT(ISNUMBER(IF(H173&lt;&gt;"",H173,IFERROR(VLOOKUP(C173,'Périodicités'!$A:$C,3,FALSE),""))))),"",EDATE(F173,IF(H173&lt;&gt;"",H173,IFERROR(VLOOKUP(C173,'Périodicités'!$A:$C,3,FALSE),""))))</f>
      </c>
      <c r="J173" s="9">
        <f>IF(I173="","",I173-TODAY())</f>
      </c>
      <c r="K173" s="7">
        <f>IF(B173&amp;C173="","",IF(F173="","Date à saisir",IF(I173="","Périodicité à confirmer",IF(J173&lt;0,"En retard",IF(J173&lt;=30,"À planifier","À jour")))))</f>
      </c>
      <c r="L173" s="5"/>
      <c r="M173" s="5"/>
      <c r="N173" s="5"/>
      <c r="O173" s="10"/>
    </row>
    <row r="174" spans="1:15" x14ac:dyDescent="0.25">
      <c r="A174" s="5">
        <v>170</v>
      </c>
      <c r="B174" s="5"/>
      <c r="C174" s="5"/>
      <c r="D174" s="5"/>
      <c r="E174" s="5"/>
      <c r="F174" s="6"/>
      <c r="G174" s="7">
        <f>IF(C174="","",IFERROR(VLOOKUP(C174,'Périodicités'!$A:$B,2,FALSE),""))</f>
      </c>
      <c r="H174" s="5"/>
      <c r="I174" s="8">
        <f>IF(OR(F174="",NOT(ISNUMBER(IF(H174&lt;&gt;"",H174,IFERROR(VLOOKUP(C174,'Périodicités'!$A:$C,3,FALSE),""))))),"",EDATE(F174,IF(H174&lt;&gt;"",H174,IFERROR(VLOOKUP(C174,'Périodicités'!$A:$C,3,FALSE),""))))</f>
      </c>
      <c r="J174" s="9">
        <f>IF(I174="","",I174-TODAY())</f>
      </c>
      <c r="K174" s="7">
        <f>IF(B174&amp;C174="","",IF(F174="","Date à saisir",IF(I174="","Périodicité à confirmer",IF(J174&lt;0,"En retard",IF(J174&lt;=30,"À planifier","À jour")))))</f>
      </c>
      <c r="L174" s="5"/>
      <c r="M174" s="5"/>
      <c r="N174" s="5"/>
      <c r="O174" s="10"/>
    </row>
    <row r="175" spans="1:15" x14ac:dyDescent="0.25">
      <c r="A175" s="5">
        <v>171</v>
      </c>
      <c r="B175" s="5"/>
      <c r="C175" s="5"/>
      <c r="D175" s="5"/>
      <c r="E175" s="5"/>
      <c r="F175" s="6"/>
      <c r="G175" s="7">
        <f>IF(C175="","",IFERROR(VLOOKUP(C175,'Périodicités'!$A:$B,2,FALSE),""))</f>
      </c>
      <c r="H175" s="5"/>
      <c r="I175" s="8">
        <f>IF(OR(F175="",NOT(ISNUMBER(IF(H175&lt;&gt;"",H175,IFERROR(VLOOKUP(C175,'Périodicités'!$A:$C,3,FALSE),""))))),"",EDATE(F175,IF(H175&lt;&gt;"",H175,IFERROR(VLOOKUP(C175,'Périodicités'!$A:$C,3,FALSE),""))))</f>
      </c>
      <c r="J175" s="9">
        <f>IF(I175="","",I175-TODAY())</f>
      </c>
      <c r="K175" s="7">
        <f>IF(B175&amp;C175="","",IF(F175="","Date à saisir",IF(I175="","Périodicité à confirmer",IF(J175&lt;0,"En retard",IF(J175&lt;=30,"À planifier","À jour")))))</f>
      </c>
      <c r="L175" s="5"/>
      <c r="M175" s="5"/>
      <c r="N175" s="5"/>
      <c r="O175" s="10"/>
    </row>
    <row r="176" spans="1:15" x14ac:dyDescent="0.25">
      <c r="A176" s="5">
        <v>172</v>
      </c>
      <c r="B176" s="5"/>
      <c r="C176" s="5"/>
      <c r="D176" s="5"/>
      <c r="E176" s="5"/>
      <c r="F176" s="6"/>
      <c r="G176" s="7">
        <f>IF(C176="","",IFERROR(VLOOKUP(C176,'Périodicités'!$A:$B,2,FALSE),""))</f>
      </c>
      <c r="H176" s="5"/>
      <c r="I176" s="8">
        <f>IF(OR(F176="",NOT(ISNUMBER(IF(H176&lt;&gt;"",H176,IFERROR(VLOOKUP(C176,'Périodicités'!$A:$C,3,FALSE),""))))),"",EDATE(F176,IF(H176&lt;&gt;"",H176,IFERROR(VLOOKUP(C176,'Périodicités'!$A:$C,3,FALSE),""))))</f>
      </c>
      <c r="J176" s="9">
        <f>IF(I176="","",I176-TODAY())</f>
      </c>
      <c r="K176" s="7">
        <f>IF(B176&amp;C176="","",IF(F176="","Date à saisir",IF(I176="","Périodicité à confirmer",IF(J176&lt;0,"En retard",IF(J176&lt;=30,"À planifier","À jour")))))</f>
      </c>
      <c r="L176" s="5"/>
      <c r="M176" s="5"/>
      <c r="N176" s="5"/>
      <c r="O176" s="10"/>
    </row>
    <row r="177" spans="1:15" x14ac:dyDescent="0.25">
      <c r="A177" s="5">
        <v>173</v>
      </c>
      <c r="B177" s="5"/>
      <c r="C177" s="5"/>
      <c r="D177" s="5"/>
      <c r="E177" s="5"/>
      <c r="F177" s="6"/>
      <c r="G177" s="7">
        <f>IF(C177="","",IFERROR(VLOOKUP(C177,'Périodicités'!$A:$B,2,FALSE),""))</f>
      </c>
      <c r="H177" s="5"/>
      <c r="I177" s="8">
        <f>IF(OR(F177="",NOT(ISNUMBER(IF(H177&lt;&gt;"",H177,IFERROR(VLOOKUP(C177,'Périodicités'!$A:$C,3,FALSE),""))))),"",EDATE(F177,IF(H177&lt;&gt;"",H177,IFERROR(VLOOKUP(C177,'Périodicités'!$A:$C,3,FALSE),""))))</f>
      </c>
      <c r="J177" s="9">
        <f>IF(I177="","",I177-TODAY())</f>
      </c>
      <c r="K177" s="7">
        <f>IF(B177&amp;C177="","",IF(F177="","Date à saisir",IF(I177="","Périodicité à confirmer",IF(J177&lt;0,"En retard",IF(J177&lt;=30,"À planifier","À jour")))))</f>
      </c>
      <c r="L177" s="5"/>
      <c r="M177" s="5"/>
      <c r="N177" s="5"/>
      <c r="O177" s="10"/>
    </row>
    <row r="178" spans="1:15" x14ac:dyDescent="0.25">
      <c r="A178" s="5">
        <v>174</v>
      </c>
      <c r="B178" s="5"/>
      <c r="C178" s="5"/>
      <c r="D178" s="5"/>
      <c r="E178" s="5"/>
      <c r="F178" s="6"/>
      <c r="G178" s="7">
        <f>IF(C178="","",IFERROR(VLOOKUP(C178,'Périodicités'!$A:$B,2,FALSE),""))</f>
      </c>
      <c r="H178" s="5"/>
      <c r="I178" s="8">
        <f>IF(OR(F178="",NOT(ISNUMBER(IF(H178&lt;&gt;"",H178,IFERROR(VLOOKUP(C178,'Périodicités'!$A:$C,3,FALSE),""))))),"",EDATE(F178,IF(H178&lt;&gt;"",H178,IFERROR(VLOOKUP(C178,'Périodicités'!$A:$C,3,FALSE),""))))</f>
      </c>
      <c r="J178" s="9">
        <f>IF(I178="","",I178-TODAY())</f>
      </c>
      <c r="K178" s="7">
        <f>IF(B178&amp;C178="","",IF(F178="","Date à saisir",IF(I178="","Périodicité à confirmer",IF(J178&lt;0,"En retard",IF(J178&lt;=30,"À planifier","À jour")))))</f>
      </c>
      <c r="L178" s="5"/>
      <c r="M178" s="5"/>
      <c r="N178" s="5"/>
      <c r="O178" s="10"/>
    </row>
    <row r="179" spans="1:15" x14ac:dyDescent="0.25">
      <c r="A179" s="5">
        <v>175</v>
      </c>
      <c r="B179" s="5"/>
      <c r="C179" s="5"/>
      <c r="D179" s="5"/>
      <c r="E179" s="5"/>
      <c r="F179" s="6"/>
      <c r="G179" s="7">
        <f>IF(C179="","",IFERROR(VLOOKUP(C179,'Périodicités'!$A:$B,2,FALSE),""))</f>
      </c>
      <c r="H179" s="5"/>
      <c r="I179" s="8">
        <f>IF(OR(F179="",NOT(ISNUMBER(IF(H179&lt;&gt;"",H179,IFERROR(VLOOKUP(C179,'Périodicités'!$A:$C,3,FALSE),""))))),"",EDATE(F179,IF(H179&lt;&gt;"",H179,IFERROR(VLOOKUP(C179,'Périodicités'!$A:$C,3,FALSE),""))))</f>
      </c>
      <c r="J179" s="9">
        <f>IF(I179="","",I179-TODAY())</f>
      </c>
      <c r="K179" s="7">
        <f>IF(B179&amp;C179="","",IF(F179="","Date à saisir",IF(I179="","Périodicité à confirmer",IF(J179&lt;0,"En retard",IF(J179&lt;=30,"À planifier","À jour")))))</f>
      </c>
      <c r="L179" s="5"/>
      <c r="M179" s="5"/>
      <c r="N179" s="5"/>
      <c r="O179" s="10"/>
    </row>
    <row r="180" spans="1:15" x14ac:dyDescent="0.25">
      <c r="A180" s="5">
        <v>176</v>
      </c>
      <c r="B180" s="5"/>
      <c r="C180" s="5"/>
      <c r="D180" s="5"/>
      <c r="E180" s="5"/>
      <c r="F180" s="6"/>
      <c r="G180" s="7">
        <f>IF(C180="","",IFERROR(VLOOKUP(C180,'Périodicités'!$A:$B,2,FALSE),""))</f>
      </c>
      <c r="H180" s="5"/>
      <c r="I180" s="8">
        <f>IF(OR(F180="",NOT(ISNUMBER(IF(H180&lt;&gt;"",H180,IFERROR(VLOOKUP(C180,'Périodicités'!$A:$C,3,FALSE),""))))),"",EDATE(F180,IF(H180&lt;&gt;"",H180,IFERROR(VLOOKUP(C180,'Périodicités'!$A:$C,3,FALSE),""))))</f>
      </c>
      <c r="J180" s="9">
        <f>IF(I180="","",I180-TODAY())</f>
      </c>
      <c r="K180" s="7">
        <f>IF(B180&amp;C180="","",IF(F180="","Date à saisir",IF(I180="","Périodicité à confirmer",IF(J180&lt;0,"En retard",IF(J180&lt;=30,"À planifier","À jour")))))</f>
      </c>
      <c r="L180" s="5"/>
      <c r="M180" s="5"/>
      <c r="N180" s="5"/>
      <c r="O180" s="10"/>
    </row>
    <row r="181" spans="1:15" x14ac:dyDescent="0.25">
      <c r="A181" s="5">
        <v>177</v>
      </c>
      <c r="B181" s="5"/>
      <c r="C181" s="5"/>
      <c r="D181" s="5"/>
      <c r="E181" s="5"/>
      <c r="F181" s="6"/>
      <c r="G181" s="7">
        <f>IF(C181="","",IFERROR(VLOOKUP(C181,'Périodicités'!$A:$B,2,FALSE),""))</f>
      </c>
      <c r="H181" s="5"/>
      <c r="I181" s="8">
        <f>IF(OR(F181="",NOT(ISNUMBER(IF(H181&lt;&gt;"",H181,IFERROR(VLOOKUP(C181,'Périodicités'!$A:$C,3,FALSE),""))))),"",EDATE(F181,IF(H181&lt;&gt;"",H181,IFERROR(VLOOKUP(C181,'Périodicités'!$A:$C,3,FALSE),""))))</f>
      </c>
      <c r="J181" s="9">
        <f>IF(I181="","",I181-TODAY())</f>
      </c>
      <c r="K181" s="7">
        <f>IF(B181&amp;C181="","",IF(F181="","Date à saisir",IF(I181="","Périodicité à confirmer",IF(J181&lt;0,"En retard",IF(J181&lt;=30,"À planifier","À jour")))))</f>
      </c>
      <c r="L181" s="5"/>
      <c r="M181" s="5"/>
      <c r="N181" s="5"/>
      <c r="O181" s="10"/>
    </row>
    <row r="182" spans="1:15" x14ac:dyDescent="0.25">
      <c r="A182" s="5">
        <v>178</v>
      </c>
      <c r="B182" s="5"/>
      <c r="C182" s="5"/>
      <c r="D182" s="5"/>
      <c r="E182" s="5"/>
      <c r="F182" s="6"/>
      <c r="G182" s="7">
        <f>IF(C182="","",IFERROR(VLOOKUP(C182,'Périodicités'!$A:$B,2,FALSE),""))</f>
      </c>
      <c r="H182" s="5"/>
      <c r="I182" s="8">
        <f>IF(OR(F182="",NOT(ISNUMBER(IF(H182&lt;&gt;"",H182,IFERROR(VLOOKUP(C182,'Périodicités'!$A:$C,3,FALSE),""))))),"",EDATE(F182,IF(H182&lt;&gt;"",H182,IFERROR(VLOOKUP(C182,'Périodicités'!$A:$C,3,FALSE),""))))</f>
      </c>
      <c r="J182" s="9">
        <f>IF(I182="","",I182-TODAY())</f>
      </c>
      <c r="K182" s="7">
        <f>IF(B182&amp;C182="","",IF(F182="","Date à saisir",IF(I182="","Périodicité à confirmer",IF(J182&lt;0,"En retard",IF(J182&lt;=30,"À planifier","À jour")))))</f>
      </c>
      <c r="L182" s="5"/>
      <c r="M182" s="5"/>
      <c r="N182" s="5"/>
      <c r="O182" s="10"/>
    </row>
    <row r="183" spans="1:15" x14ac:dyDescent="0.25">
      <c r="A183" s="5">
        <v>179</v>
      </c>
      <c r="B183" s="5"/>
      <c r="C183" s="5"/>
      <c r="D183" s="5"/>
      <c r="E183" s="5"/>
      <c r="F183" s="6"/>
      <c r="G183" s="7">
        <f>IF(C183="","",IFERROR(VLOOKUP(C183,'Périodicités'!$A:$B,2,FALSE),""))</f>
      </c>
      <c r="H183" s="5"/>
      <c r="I183" s="8">
        <f>IF(OR(F183="",NOT(ISNUMBER(IF(H183&lt;&gt;"",H183,IFERROR(VLOOKUP(C183,'Périodicités'!$A:$C,3,FALSE),""))))),"",EDATE(F183,IF(H183&lt;&gt;"",H183,IFERROR(VLOOKUP(C183,'Périodicités'!$A:$C,3,FALSE),""))))</f>
      </c>
      <c r="J183" s="9">
        <f>IF(I183="","",I183-TODAY())</f>
      </c>
      <c r="K183" s="7">
        <f>IF(B183&amp;C183="","",IF(F183="","Date à saisir",IF(I183="","Périodicité à confirmer",IF(J183&lt;0,"En retard",IF(J183&lt;=30,"À planifier","À jour")))))</f>
      </c>
      <c r="L183" s="5"/>
      <c r="M183" s="5"/>
      <c r="N183" s="5"/>
      <c r="O183" s="10"/>
    </row>
    <row r="184" spans="1:15" x14ac:dyDescent="0.25">
      <c r="A184" s="5">
        <v>180</v>
      </c>
      <c r="B184" s="5"/>
      <c r="C184" s="5"/>
      <c r="D184" s="5"/>
      <c r="E184" s="5"/>
      <c r="F184" s="6"/>
      <c r="G184" s="7">
        <f>IF(C184="","",IFERROR(VLOOKUP(C184,'Périodicités'!$A:$B,2,FALSE),""))</f>
      </c>
      <c r="H184" s="5"/>
      <c r="I184" s="8">
        <f>IF(OR(F184="",NOT(ISNUMBER(IF(H184&lt;&gt;"",H184,IFERROR(VLOOKUP(C184,'Périodicités'!$A:$C,3,FALSE),""))))),"",EDATE(F184,IF(H184&lt;&gt;"",H184,IFERROR(VLOOKUP(C184,'Périodicités'!$A:$C,3,FALSE),""))))</f>
      </c>
      <c r="J184" s="9">
        <f>IF(I184="","",I184-TODAY())</f>
      </c>
      <c r="K184" s="7">
        <f>IF(B184&amp;C184="","",IF(F184="","Date à saisir",IF(I184="","Périodicité à confirmer",IF(J184&lt;0,"En retard",IF(J184&lt;=30,"À planifier","À jour")))))</f>
      </c>
      <c r="L184" s="5"/>
      <c r="M184" s="5"/>
      <c r="N184" s="5"/>
      <c r="O184" s="10"/>
    </row>
    <row r="185" spans="1:15" x14ac:dyDescent="0.25">
      <c r="A185" s="5">
        <v>181</v>
      </c>
      <c r="B185" s="5"/>
      <c r="C185" s="5"/>
      <c r="D185" s="5"/>
      <c r="E185" s="5"/>
      <c r="F185" s="6"/>
      <c r="G185" s="7">
        <f>IF(C185="","",IFERROR(VLOOKUP(C185,'Périodicités'!$A:$B,2,FALSE),""))</f>
      </c>
      <c r="H185" s="5"/>
      <c r="I185" s="8">
        <f>IF(OR(F185="",NOT(ISNUMBER(IF(H185&lt;&gt;"",H185,IFERROR(VLOOKUP(C185,'Périodicités'!$A:$C,3,FALSE),""))))),"",EDATE(F185,IF(H185&lt;&gt;"",H185,IFERROR(VLOOKUP(C185,'Périodicités'!$A:$C,3,FALSE),""))))</f>
      </c>
      <c r="J185" s="9">
        <f>IF(I185="","",I185-TODAY())</f>
      </c>
      <c r="K185" s="7">
        <f>IF(B185&amp;C185="","",IF(F185="","Date à saisir",IF(I185="","Périodicité à confirmer",IF(J185&lt;0,"En retard",IF(J185&lt;=30,"À planifier","À jour")))))</f>
      </c>
      <c r="L185" s="5"/>
      <c r="M185" s="5"/>
      <c r="N185" s="5"/>
      <c r="O185" s="10"/>
    </row>
    <row r="186" spans="1:15" x14ac:dyDescent="0.25">
      <c r="A186" s="5">
        <v>182</v>
      </c>
      <c r="B186" s="5"/>
      <c r="C186" s="5"/>
      <c r="D186" s="5"/>
      <c r="E186" s="5"/>
      <c r="F186" s="6"/>
      <c r="G186" s="7">
        <f>IF(C186="","",IFERROR(VLOOKUP(C186,'Périodicités'!$A:$B,2,FALSE),""))</f>
      </c>
      <c r="H186" s="5"/>
      <c r="I186" s="8">
        <f>IF(OR(F186="",NOT(ISNUMBER(IF(H186&lt;&gt;"",H186,IFERROR(VLOOKUP(C186,'Périodicités'!$A:$C,3,FALSE),""))))),"",EDATE(F186,IF(H186&lt;&gt;"",H186,IFERROR(VLOOKUP(C186,'Périodicités'!$A:$C,3,FALSE),""))))</f>
      </c>
      <c r="J186" s="9">
        <f>IF(I186="","",I186-TODAY())</f>
      </c>
      <c r="K186" s="7">
        <f>IF(B186&amp;C186="","",IF(F186="","Date à saisir",IF(I186="","Périodicité à confirmer",IF(J186&lt;0,"En retard",IF(J186&lt;=30,"À planifier","À jour")))))</f>
      </c>
      <c r="L186" s="5"/>
      <c r="M186" s="5"/>
      <c r="N186" s="5"/>
      <c r="O186" s="10"/>
    </row>
    <row r="187" spans="1:15" x14ac:dyDescent="0.25">
      <c r="A187" s="5">
        <v>183</v>
      </c>
      <c r="B187" s="5"/>
      <c r="C187" s="5"/>
      <c r="D187" s="5"/>
      <c r="E187" s="5"/>
      <c r="F187" s="6"/>
      <c r="G187" s="7">
        <f>IF(C187="","",IFERROR(VLOOKUP(C187,'Périodicités'!$A:$B,2,FALSE),""))</f>
      </c>
      <c r="H187" s="5"/>
      <c r="I187" s="8">
        <f>IF(OR(F187="",NOT(ISNUMBER(IF(H187&lt;&gt;"",H187,IFERROR(VLOOKUP(C187,'Périodicités'!$A:$C,3,FALSE),""))))),"",EDATE(F187,IF(H187&lt;&gt;"",H187,IFERROR(VLOOKUP(C187,'Périodicités'!$A:$C,3,FALSE),""))))</f>
      </c>
      <c r="J187" s="9">
        <f>IF(I187="","",I187-TODAY())</f>
      </c>
      <c r="K187" s="7">
        <f>IF(B187&amp;C187="","",IF(F187="","Date à saisir",IF(I187="","Périodicité à confirmer",IF(J187&lt;0,"En retard",IF(J187&lt;=30,"À planifier","À jour")))))</f>
      </c>
      <c r="L187" s="5"/>
      <c r="M187" s="5"/>
      <c r="N187" s="5"/>
      <c r="O187" s="10"/>
    </row>
    <row r="188" spans="1:15" x14ac:dyDescent="0.25">
      <c r="A188" s="5">
        <v>184</v>
      </c>
      <c r="B188" s="5"/>
      <c r="C188" s="5"/>
      <c r="D188" s="5"/>
      <c r="E188" s="5"/>
      <c r="F188" s="6"/>
      <c r="G188" s="7">
        <f>IF(C188="","",IFERROR(VLOOKUP(C188,'Périodicités'!$A:$B,2,FALSE),""))</f>
      </c>
      <c r="H188" s="5"/>
      <c r="I188" s="8">
        <f>IF(OR(F188="",NOT(ISNUMBER(IF(H188&lt;&gt;"",H188,IFERROR(VLOOKUP(C188,'Périodicités'!$A:$C,3,FALSE),""))))),"",EDATE(F188,IF(H188&lt;&gt;"",H188,IFERROR(VLOOKUP(C188,'Périodicités'!$A:$C,3,FALSE),""))))</f>
      </c>
      <c r="J188" s="9">
        <f>IF(I188="","",I188-TODAY())</f>
      </c>
      <c r="K188" s="7">
        <f>IF(B188&amp;C188="","",IF(F188="","Date à saisir",IF(I188="","Périodicité à confirmer",IF(J188&lt;0,"En retard",IF(J188&lt;=30,"À planifier","À jour")))))</f>
      </c>
      <c r="L188" s="5"/>
      <c r="M188" s="5"/>
      <c r="N188" s="5"/>
      <c r="O188" s="10"/>
    </row>
    <row r="189" spans="1:15" x14ac:dyDescent="0.25">
      <c r="A189" s="5">
        <v>185</v>
      </c>
      <c r="B189" s="5"/>
      <c r="C189" s="5"/>
      <c r="D189" s="5"/>
      <c r="E189" s="5"/>
      <c r="F189" s="6"/>
      <c r="G189" s="7">
        <f>IF(C189="","",IFERROR(VLOOKUP(C189,'Périodicités'!$A:$B,2,FALSE),""))</f>
      </c>
      <c r="H189" s="5"/>
      <c r="I189" s="8">
        <f>IF(OR(F189="",NOT(ISNUMBER(IF(H189&lt;&gt;"",H189,IFERROR(VLOOKUP(C189,'Périodicités'!$A:$C,3,FALSE),""))))),"",EDATE(F189,IF(H189&lt;&gt;"",H189,IFERROR(VLOOKUP(C189,'Périodicités'!$A:$C,3,FALSE),""))))</f>
      </c>
      <c r="J189" s="9">
        <f>IF(I189="","",I189-TODAY())</f>
      </c>
      <c r="K189" s="7">
        <f>IF(B189&amp;C189="","",IF(F189="","Date à saisir",IF(I189="","Périodicité à confirmer",IF(J189&lt;0,"En retard",IF(J189&lt;=30,"À planifier","À jour")))))</f>
      </c>
      <c r="L189" s="5"/>
      <c r="M189" s="5"/>
      <c r="N189" s="5"/>
      <c r="O189" s="10"/>
    </row>
    <row r="190" spans="1:15" x14ac:dyDescent="0.25">
      <c r="A190" s="5">
        <v>186</v>
      </c>
      <c r="B190" s="5"/>
      <c r="C190" s="5"/>
      <c r="D190" s="5"/>
      <c r="E190" s="5"/>
      <c r="F190" s="6"/>
      <c r="G190" s="7">
        <f>IF(C190="","",IFERROR(VLOOKUP(C190,'Périodicités'!$A:$B,2,FALSE),""))</f>
      </c>
      <c r="H190" s="5"/>
      <c r="I190" s="8">
        <f>IF(OR(F190="",NOT(ISNUMBER(IF(H190&lt;&gt;"",H190,IFERROR(VLOOKUP(C190,'Périodicités'!$A:$C,3,FALSE),""))))),"",EDATE(F190,IF(H190&lt;&gt;"",H190,IFERROR(VLOOKUP(C190,'Périodicités'!$A:$C,3,FALSE),""))))</f>
      </c>
      <c r="J190" s="9">
        <f>IF(I190="","",I190-TODAY())</f>
      </c>
      <c r="K190" s="7">
        <f>IF(B190&amp;C190="","",IF(F190="","Date à saisir",IF(I190="","Périodicité à confirmer",IF(J190&lt;0,"En retard",IF(J190&lt;=30,"À planifier","À jour")))))</f>
      </c>
      <c r="L190" s="5"/>
      <c r="M190" s="5"/>
      <c r="N190" s="5"/>
      <c r="O190" s="10"/>
    </row>
    <row r="191" spans="1:15" x14ac:dyDescent="0.25">
      <c r="A191" s="5">
        <v>187</v>
      </c>
      <c r="B191" s="5"/>
      <c r="C191" s="5"/>
      <c r="D191" s="5"/>
      <c r="E191" s="5"/>
      <c r="F191" s="6"/>
      <c r="G191" s="7">
        <f>IF(C191="","",IFERROR(VLOOKUP(C191,'Périodicités'!$A:$B,2,FALSE),""))</f>
      </c>
      <c r="H191" s="5"/>
      <c r="I191" s="8">
        <f>IF(OR(F191="",NOT(ISNUMBER(IF(H191&lt;&gt;"",H191,IFERROR(VLOOKUP(C191,'Périodicités'!$A:$C,3,FALSE),""))))),"",EDATE(F191,IF(H191&lt;&gt;"",H191,IFERROR(VLOOKUP(C191,'Périodicités'!$A:$C,3,FALSE),""))))</f>
      </c>
      <c r="J191" s="9">
        <f>IF(I191="","",I191-TODAY())</f>
      </c>
      <c r="K191" s="7">
        <f>IF(B191&amp;C191="","",IF(F191="","Date à saisir",IF(I191="","Périodicité à confirmer",IF(J191&lt;0,"En retard",IF(J191&lt;=30,"À planifier","À jour")))))</f>
      </c>
      <c r="L191" s="5"/>
      <c r="M191" s="5"/>
      <c r="N191" s="5"/>
      <c r="O191" s="10"/>
    </row>
    <row r="192" spans="1:15" x14ac:dyDescent="0.25">
      <c r="A192" s="5">
        <v>188</v>
      </c>
      <c r="B192" s="5"/>
      <c r="C192" s="5"/>
      <c r="D192" s="5"/>
      <c r="E192" s="5"/>
      <c r="F192" s="6"/>
      <c r="G192" s="7">
        <f>IF(C192="","",IFERROR(VLOOKUP(C192,'Périodicités'!$A:$B,2,FALSE),""))</f>
      </c>
      <c r="H192" s="5"/>
      <c r="I192" s="8">
        <f>IF(OR(F192="",NOT(ISNUMBER(IF(H192&lt;&gt;"",H192,IFERROR(VLOOKUP(C192,'Périodicités'!$A:$C,3,FALSE),""))))),"",EDATE(F192,IF(H192&lt;&gt;"",H192,IFERROR(VLOOKUP(C192,'Périodicités'!$A:$C,3,FALSE),""))))</f>
      </c>
      <c r="J192" s="9">
        <f>IF(I192="","",I192-TODAY())</f>
      </c>
      <c r="K192" s="7">
        <f>IF(B192&amp;C192="","",IF(F192="","Date à saisir",IF(I192="","Périodicité à confirmer",IF(J192&lt;0,"En retard",IF(J192&lt;=30,"À planifier","À jour")))))</f>
      </c>
      <c r="L192" s="5"/>
      <c r="M192" s="5"/>
      <c r="N192" s="5"/>
      <c r="O192" s="10"/>
    </row>
    <row r="193" spans="1:15" x14ac:dyDescent="0.25">
      <c r="A193" s="5">
        <v>189</v>
      </c>
      <c r="B193" s="5"/>
      <c r="C193" s="5"/>
      <c r="D193" s="5"/>
      <c r="E193" s="5"/>
      <c r="F193" s="6"/>
      <c r="G193" s="7">
        <f>IF(C193="","",IFERROR(VLOOKUP(C193,'Périodicités'!$A:$B,2,FALSE),""))</f>
      </c>
      <c r="H193" s="5"/>
      <c r="I193" s="8">
        <f>IF(OR(F193="",NOT(ISNUMBER(IF(H193&lt;&gt;"",H193,IFERROR(VLOOKUP(C193,'Périodicités'!$A:$C,3,FALSE),""))))),"",EDATE(F193,IF(H193&lt;&gt;"",H193,IFERROR(VLOOKUP(C193,'Périodicités'!$A:$C,3,FALSE),""))))</f>
      </c>
      <c r="J193" s="9">
        <f>IF(I193="","",I193-TODAY())</f>
      </c>
      <c r="K193" s="7">
        <f>IF(B193&amp;C193="","",IF(F193="","Date à saisir",IF(I193="","Périodicité à confirmer",IF(J193&lt;0,"En retard",IF(J193&lt;=30,"À planifier","À jour")))))</f>
      </c>
      <c r="L193" s="5"/>
      <c r="M193" s="5"/>
      <c r="N193" s="5"/>
      <c r="O193" s="10"/>
    </row>
    <row r="194" spans="1:15" x14ac:dyDescent="0.25">
      <c r="A194" s="5">
        <v>190</v>
      </c>
      <c r="B194" s="5"/>
      <c r="C194" s="5"/>
      <c r="D194" s="5"/>
      <c r="E194" s="5"/>
      <c r="F194" s="6"/>
      <c r="G194" s="7">
        <f>IF(C194="","",IFERROR(VLOOKUP(C194,'Périodicités'!$A:$B,2,FALSE),""))</f>
      </c>
      <c r="H194" s="5"/>
      <c r="I194" s="8">
        <f>IF(OR(F194="",NOT(ISNUMBER(IF(H194&lt;&gt;"",H194,IFERROR(VLOOKUP(C194,'Périodicités'!$A:$C,3,FALSE),""))))),"",EDATE(F194,IF(H194&lt;&gt;"",H194,IFERROR(VLOOKUP(C194,'Périodicités'!$A:$C,3,FALSE),""))))</f>
      </c>
      <c r="J194" s="9">
        <f>IF(I194="","",I194-TODAY())</f>
      </c>
      <c r="K194" s="7">
        <f>IF(B194&amp;C194="","",IF(F194="","Date à saisir",IF(I194="","Périodicité à confirmer",IF(J194&lt;0,"En retard",IF(J194&lt;=30,"À planifier","À jour")))))</f>
      </c>
      <c r="L194" s="5"/>
      <c r="M194" s="5"/>
      <c r="N194" s="5"/>
      <c r="O194" s="10"/>
    </row>
    <row r="195" spans="1:15" x14ac:dyDescent="0.25">
      <c r="A195" s="5">
        <v>191</v>
      </c>
      <c r="B195" s="5"/>
      <c r="C195" s="5"/>
      <c r="D195" s="5"/>
      <c r="E195" s="5"/>
      <c r="F195" s="6"/>
      <c r="G195" s="7">
        <f>IF(C195="","",IFERROR(VLOOKUP(C195,'Périodicités'!$A:$B,2,FALSE),""))</f>
      </c>
      <c r="H195" s="5"/>
      <c r="I195" s="8">
        <f>IF(OR(F195="",NOT(ISNUMBER(IF(H195&lt;&gt;"",H195,IFERROR(VLOOKUP(C195,'Périodicités'!$A:$C,3,FALSE),""))))),"",EDATE(F195,IF(H195&lt;&gt;"",H195,IFERROR(VLOOKUP(C195,'Périodicités'!$A:$C,3,FALSE),""))))</f>
      </c>
      <c r="J195" s="9">
        <f>IF(I195="","",I195-TODAY())</f>
      </c>
      <c r="K195" s="7">
        <f>IF(B195&amp;C195="","",IF(F195="","Date à saisir",IF(I195="","Périodicité à confirmer",IF(J195&lt;0,"En retard",IF(J195&lt;=30,"À planifier","À jour")))))</f>
      </c>
      <c r="L195" s="5"/>
      <c r="M195" s="5"/>
      <c r="N195" s="5"/>
      <c r="O195" s="10"/>
    </row>
    <row r="196" spans="1:15" x14ac:dyDescent="0.25">
      <c r="A196" s="5">
        <v>192</v>
      </c>
      <c r="B196" s="5"/>
      <c r="C196" s="5"/>
      <c r="D196" s="5"/>
      <c r="E196" s="5"/>
      <c r="F196" s="6"/>
      <c r="G196" s="7">
        <f>IF(C196="","",IFERROR(VLOOKUP(C196,'Périodicités'!$A:$B,2,FALSE),""))</f>
      </c>
      <c r="H196" s="5"/>
      <c r="I196" s="8">
        <f>IF(OR(F196="",NOT(ISNUMBER(IF(H196&lt;&gt;"",H196,IFERROR(VLOOKUP(C196,'Périodicités'!$A:$C,3,FALSE),""))))),"",EDATE(F196,IF(H196&lt;&gt;"",H196,IFERROR(VLOOKUP(C196,'Périodicités'!$A:$C,3,FALSE),""))))</f>
      </c>
      <c r="J196" s="9">
        <f>IF(I196="","",I196-TODAY())</f>
      </c>
      <c r="K196" s="7">
        <f>IF(B196&amp;C196="","",IF(F196="","Date à saisir",IF(I196="","Périodicité à confirmer",IF(J196&lt;0,"En retard",IF(J196&lt;=30,"À planifier","À jour")))))</f>
      </c>
      <c r="L196" s="5"/>
      <c r="M196" s="5"/>
      <c r="N196" s="5"/>
      <c r="O196" s="10"/>
    </row>
    <row r="197" spans="1:15" x14ac:dyDescent="0.25">
      <c r="A197" s="5">
        <v>193</v>
      </c>
      <c r="B197" s="5"/>
      <c r="C197" s="5"/>
      <c r="D197" s="5"/>
      <c r="E197" s="5"/>
      <c r="F197" s="6"/>
      <c r="G197" s="7">
        <f>IF(C197="","",IFERROR(VLOOKUP(C197,'Périodicités'!$A:$B,2,FALSE),""))</f>
      </c>
      <c r="H197" s="5"/>
      <c r="I197" s="8">
        <f>IF(OR(F197="",NOT(ISNUMBER(IF(H197&lt;&gt;"",H197,IFERROR(VLOOKUP(C197,'Périodicités'!$A:$C,3,FALSE),""))))),"",EDATE(F197,IF(H197&lt;&gt;"",H197,IFERROR(VLOOKUP(C197,'Périodicités'!$A:$C,3,FALSE),""))))</f>
      </c>
      <c r="J197" s="9">
        <f>IF(I197="","",I197-TODAY())</f>
      </c>
      <c r="K197" s="7">
        <f>IF(B197&amp;C197="","",IF(F197="","Date à saisir",IF(I197="","Périodicité à confirmer",IF(J197&lt;0,"En retard",IF(J197&lt;=30,"À planifier","À jour")))))</f>
      </c>
      <c r="L197" s="5"/>
      <c r="M197" s="5"/>
      <c r="N197" s="5"/>
      <c r="O197" s="10"/>
    </row>
    <row r="198" spans="1:15" x14ac:dyDescent="0.25">
      <c r="A198" s="5">
        <v>194</v>
      </c>
      <c r="B198" s="5"/>
      <c r="C198" s="5"/>
      <c r="D198" s="5"/>
      <c r="E198" s="5"/>
      <c r="F198" s="6"/>
      <c r="G198" s="7">
        <f>IF(C198="","",IFERROR(VLOOKUP(C198,'Périodicités'!$A:$B,2,FALSE),""))</f>
      </c>
      <c r="H198" s="5"/>
      <c r="I198" s="8">
        <f>IF(OR(F198="",NOT(ISNUMBER(IF(H198&lt;&gt;"",H198,IFERROR(VLOOKUP(C198,'Périodicités'!$A:$C,3,FALSE),""))))),"",EDATE(F198,IF(H198&lt;&gt;"",H198,IFERROR(VLOOKUP(C198,'Périodicités'!$A:$C,3,FALSE),""))))</f>
      </c>
      <c r="J198" s="9">
        <f>IF(I198="","",I198-TODAY())</f>
      </c>
      <c r="K198" s="7">
        <f>IF(B198&amp;C198="","",IF(F198="","Date à saisir",IF(I198="","Périodicité à confirmer",IF(J198&lt;0,"En retard",IF(J198&lt;=30,"À planifier","À jour")))))</f>
      </c>
      <c r="L198" s="5"/>
      <c r="M198" s="5"/>
      <c r="N198" s="5"/>
      <c r="O198" s="10"/>
    </row>
    <row r="199" spans="1:15" x14ac:dyDescent="0.25">
      <c r="A199" s="5">
        <v>195</v>
      </c>
      <c r="B199" s="5"/>
      <c r="C199" s="5"/>
      <c r="D199" s="5"/>
      <c r="E199" s="5"/>
      <c r="F199" s="6"/>
      <c r="G199" s="7">
        <f>IF(C199="","",IFERROR(VLOOKUP(C199,'Périodicités'!$A:$B,2,FALSE),""))</f>
      </c>
      <c r="H199" s="5"/>
      <c r="I199" s="8">
        <f>IF(OR(F199="",NOT(ISNUMBER(IF(H199&lt;&gt;"",H199,IFERROR(VLOOKUP(C199,'Périodicités'!$A:$C,3,FALSE),""))))),"",EDATE(F199,IF(H199&lt;&gt;"",H199,IFERROR(VLOOKUP(C199,'Périodicités'!$A:$C,3,FALSE),""))))</f>
      </c>
      <c r="J199" s="9">
        <f>IF(I199="","",I199-TODAY())</f>
      </c>
      <c r="K199" s="7">
        <f>IF(B199&amp;C199="","",IF(F199="","Date à saisir",IF(I199="","Périodicité à confirmer",IF(J199&lt;0,"En retard",IF(J199&lt;=30,"À planifier","À jour")))))</f>
      </c>
      <c r="L199" s="5"/>
      <c r="M199" s="5"/>
      <c r="N199" s="5"/>
      <c r="O199" s="10"/>
    </row>
    <row r="200" spans="1:15" x14ac:dyDescent="0.25">
      <c r="A200" s="5">
        <v>196</v>
      </c>
      <c r="B200" s="5"/>
      <c r="C200" s="5"/>
      <c r="D200" s="5"/>
      <c r="E200" s="5"/>
      <c r="F200" s="6"/>
      <c r="G200" s="7">
        <f>IF(C200="","",IFERROR(VLOOKUP(C200,'Périodicités'!$A:$B,2,FALSE),""))</f>
      </c>
      <c r="H200" s="5"/>
      <c r="I200" s="8">
        <f>IF(OR(F200="",NOT(ISNUMBER(IF(H200&lt;&gt;"",H200,IFERROR(VLOOKUP(C200,'Périodicités'!$A:$C,3,FALSE),""))))),"",EDATE(F200,IF(H200&lt;&gt;"",H200,IFERROR(VLOOKUP(C200,'Périodicités'!$A:$C,3,FALSE),""))))</f>
      </c>
      <c r="J200" s="9">
        <f>IF(I200="","",I200-TODAY())</f>
      </c>
      <c r="K200" s="7">
        <f>IF(B200&amp;C200="","",IF(F200="","Date à saisir",IF(I200="","Périodicité à confirmer",IF(J200&lt;0,"En retard",IF(J200&lt;=30,"À planifier","À jour")))))</f>
      </c>
      <c r="L200" s="5"/>
      <c r="M200" s="5"/>
      <c r="N200" s="5"/>
      <c r="O200" s="10"/>
    </row>
    <row r="201" spans="1:15" x14ac:dyDescent="0.25">
      <c r="A201" s="5">
        <v>197</v>
      </c>
      <c r="B201" s="5"/>
      <c r="C201" s="5"/>
      <c r="D201" s="5"/>
      <c r="E201" s="5"/>
      <c r="F201" s="6"/>
      <c r="G201" s="7">
        <f>IF(C201="","",IFERROR(VLOOKUP(C201,'Périodicités'!$A:$B,2,FALSE),""))</f>
      </c>
      <c r="H201" s="5"/>
      <c r="I201" s="8">
        <f>IF(OR(F201="",NOT(ISNUMBER(IF(H201&lt;&gt;"",H201,IFERROR(VLOOKUP(C201,'Périodicités'!$A:$C,3,FALSE),""))))),"",EDATE(F201,IF(H201&lt;&gt;"",H201,IFERROR(VLOOKUP(C201,'Périodicités'!$A:$C,3,FALSE),""))))</f>
      </c>
      <c r="J201" s="9">
        <f>IF(I201="","",I201-TODAY())</f>
      </c>
      <c r="K201" s="7">
        <f>IF(B201&amp;C201="","",IF(F201="","Date à saisir",IF(I201="","Périodicité à confirmer",IF(J201&lt;0,"En retard",IF(J201&lt;=30,"À planifier","À jour")))))</f>
      </c>
      <c r="L201" s="5"/>
      <c r="M201" s="5"/>
      <c r="N201" s="5"/>
      <c r="O201" s="10"/>
    </row>
    <row r="202" spans="1:15" x14ac:dyDescent="0.25">
      <c r="A202" s="5">
        <v>198</v>
      </c>
      <c r="B202" s="5"/>
      <c r="C202" s="5"/>
      <c r="D202" s="5"/>
      <c r="E202" s="5"/>
      <c r="F202" s="6"/>
      <c r="G202" s="7">
        <f>IF(C202="","",IFERROR(VLOOKUP(C202,'Périodicités'!$A:$B,2,FALSE),""))</f>
      </c>
      <c r="H202" s="5"/>
      <c r="I202" s="8">
        <f>IF(OR(F202="",NOT(ISNUMBER(IF(H202&lt;&gt;"",H202,IFERROR(VLOOKUP(C202,'Périodicités'!$A:$C,3,FALSE),""))))),"",EDATE(F202,IF(H202&lt;&gt;"",H202,IFERROR(VLOOKUP(C202,'Périodicités'!$A:$C,3,FALSE),""))))</f>
      </c>
      <c r="J202" s="9">
        <f>IF(I202="","",I202-TODAY())</f>
      </c>
      <c r="K202" s="7">
        <f>IF(B202&amp;C202="","",IF(F202="","Date à saisir",IF(I202="","Périodicité à confirmer",IF(J202&lt;0,"En retard",IF(J202&lt;=30,"À planifier","À jour")))))</f>
      </c>
      <c r="L202" s="5"/>
      <c r="M202" s="5"/>
      <c r="N202" s="5"/>
      <c r="O202" s="10"/>
    </row>
    <row r="203" spans="1:15" x14ac:dyDescent="0.25">
      <c r="A203" s="5">
        <v>199</v>
      </c>
      <c r="B203" s="5"/>
      <c r="C203" s="5"/>
      <c r="D203" s="5"/>
      <c r="E203" s="5"/>
      <c r="F203" s="6"/>
      <c r="G203" s="7">
        <f>IF(C203="","",IFERROR(VLOOKUP(C203,'Périodicités'!$A:$B,2,FALSE),""))</f>
      </c>
      <c r="H203" s="5"/>
      <c r="I203" s="8">
        <f>IF(OR(F203="",NOT(ISNUMBER(IF(H203&lt;&gt;"",H203,IFERROR(VLOOKUP(C203,'Périodicités'!$A:$C,3,FALSE),""))))),"",EDATE(F203,IF(H203&lt;&gt;"",H203,IFERROR(VLOOKUP(C203,'Périodicités'!$A:$C,3,FALSE),""))))</f>
      </c>
      <c r="J203" s="9">
        <f>IF(I203="","",I203-TODAY())</f>
      </c>
      <c r="K203" s="7">
        <f>IF(B203&amp;C203="","",IF(F203="","Date à saisir",IF(I203="","Périodicité à confirmer",IF(J203&lt;0,"En retard",IF(J203&lt;=30,"À planifier","À jour")))))</f>
      </c>
      <c r="L203" s="5"/>
      <c r="M203" s="5"/>
      <c r="N203" s="5"/>
      <c r="O203" s="10"/>
    </row>
    <row r="204" spans="1:15" x14ac:dyDescent="0.25">
      <c r="A204" s="5">
        <v>200</v>
      </c>
      <c r="B204" s="5"/>
      <c r="C204" s="5"/>
      <c r="D204" s="5"/>
      <c r="E204" s="5"/>
      <c r="F204" s="6"/>
      <c r="G204" s="7">
        <f>IF(C204="","",IFERROR(VLOOKUP(C204,'Périodicités'!$A:$B,2,FALSE),""))</f>
      </c>
      <c r="H204" s="5"/>
      <c r="I204" s="8">
        <f>IF(OR(F204="",NOT(ISNUMBER(IF(H204&lt;&gt;"",H204,IFERROR(VLOOKUP(C204,'Périodicités'!$A:$C,3,FALSE),""))))),"",EDATE(F204,IF(H204&lt;&gt;"",H204,IFERROR(VLOOKUP(C204,'Périodicités'!$A:$C,3,FALSE),""))))</f>
      </c>
      <c r="J204" s="9">
        <f>IF(I204="","",I204-TODAY())</f>
      </c>
      <c r="K204" s="7">
        <f>IF(B204&amp;C204="","",IF(F204="","Date à saisir",IF(I204="","Périodicité à confirmer",IF(J204&lt;0,"En retard",IF(J204&lt;=30,"À planifier","À jour")))))</f>
      </c>
      <c r="L204" s="5"/>
      <c r="M204" s="5"/>
      <c r="N204" s="5"/>
      <c r="O204" s="10"/>
    </row>
  </sheetData>
  <autoFilter ref="A4:O204"/>
  <mergeCells count="2">
    <mergeCell ref="A1:O1"/>
    <mergeCell ref="A2:O2"/>
  </mergeCells>
  <conditionalFormatting sqref="K5:K204">
    <cfRule type="expression" dxfId="0" priority="1">
      <formula>$K5="En retard"</formula>
    </cfRule>
    <cfRule type="expression" dxfId="1" priority="2">
      <formula>$K5="À planifier"</formula>
    </cfRule>
    <cfRule type="expression" dxfId="2" priority="3">
      <formula>$K5="À jour"</formula>
    </cfRule>
    <cfRule type="expression" dxfId="3" priority="4">
      <formula>OR($K5="Périodicité à confirmer",$K5="Date à saisir")</formula>
    </cfRule>
  </conditionalFormatting>
  <conditionalFormatting sqref="N5:N204">
    <cfRule type="expression" dxfId="4" priority="5">
      <formula>$N5="Oui"</formula>
    </cfRule>
  </conditionalFormatting>
  <dataValidations count="4">
    <dataValidation type="list" allowBlank="1" showErrorMessage="1" errorTitle="Type inconnu" error="Choisissez un type dans la liste (onglet Périodicités)." sqref="C5:C204">
      <formula1>'Périodicités'!$A$2:$A$9</formula1>
    </dataValidation>
    <dataValidation type="date" operator="greaterThan" allowBlank="1" showErrorMessage="1" errorTitle="Date attendue" error="Saisissez une date, par exemple 12/03/2026." sqref="F5:F204">
      <formula1>36526</formula1>
    </dataValidation>
    <dataValidation type="list" allowBlank="1" showInputMessage="1" promptTitle="Périodicité retenue" prompt="À renseigner si la périodicité indicative est « à confirmer » ou si votre vérificateur en retient une autre." sqref="H5:H204">
      <formula1>"3,6,12"</formula1>
    </dataValidation>
    <dataValidation type="list" allowBlank="1" sqref="N5:N204">
      <formula1>"Oui,Non"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&amp;Lmodele-vgp.fr&amp;RPage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48" customWidth="1"/>
    <col min="2" max="2" width="22" customWidth="1"/>
  </cols>
  <sheetData>
    <row r="1" spans="1:1" x14ac:dyDescent="0.25">
      <c r="A1" s="1" t="s">
        <v>17</v>
      </c>
    </row>
    <row r="2" spans="1:1" x14ac:dyDescent="0.25">
      <c r="A2" s="3">
        <f>"Situation au "&amp;TEXT(TODAY(),"dd/mm/yyyy")</f>
      </c>
    </row>
    <row r="4" ht="30" customHeight="1" spans="1:2" x14ac:dyDescent="0.25">
      <c r="A4" s="11" t="s">
        <v>18</v>
      </c>
      <c r="B4" s="12">
        <f>ROWS('Suivi VGP'!$K$5:$K$204)-COUNTIF('Suivi VGP'!$K$5:$K$204,"")</f>
      </c>
    </row>
    <row r="5" ht="30" customHeight="1" spans="1:2" x14ac:dyDescent="0.25">
      <c r="A5" s="11" t="s">
        <v>19</v>
      </c>
      <c r="B5" s="13">
        <f>COUNTIF('Suivi VGP'!$K$5:$K$204,"En retard")</f>
      </c>
    </row>
    <row r="6" ht="30" customHeight="1" spans="1:2" x14ac:dyDescent="0.25">
      <c r="A6" s="11" t="s">
        <v>20</v>
      </c>
      <c r="B6" s="14">
        <f>COUNTIF('Suivi VGP'!$K$5:$K$204,"À planifier")</f>
      </c>
    </row>
    <row r="7" ht="30" customHeight="1" spans="1:2" x14ac:dyDescent="0.25">
      <c r="A7" s="11" t="s">
        <v>21</v>
      </c>
      <c r="B7" s="15">
        <f>COUNTIF('Suivi VGP'!$K$5:$K$204,"À jour")</f>
      </c>
    </row>
    <row r="8" ht="30" customHeight="1" spans="1:2" x14ac:dyDescent="0.25">
      <c r="A8" s="11" t="s">
        <v>22</v>
      </c>
      <c r="B8" s="14">
        <f>COUNTIF('Suivi VGP'!$K$5:$K$204,"Date à saisir")+COUNTIF('Suivi VGP'!$K$5:$K$204,"Périodicité à confirmer")</f>
      </c>
    </row>
    <row r="9" ht="30" customHeight="1" spans="1:2" x14ac:dyDescent="0.25">
      <c r="A9" s="11" t="s">
        <v>23</v>
      </c>
      <c r="B9" s="14">
        <f>COUNTIF('Suivi VGP'!$N$5:$N$204,"Oui")</f>
      </c>
    </row>
    <row r="10" ht="30" customHeight="1" spans="1:2" x14ac:dyDescent="0.25">
      <c r="A10" s="11" t="s">
        <v>10</v>
      </c>
      <c r="B10" s="16">
        <f>IFERROR(SMALL('Suivi VGP'!$I$5:$I$204,COUNTIF('Suivi VGP'!$I$5:$I$204,"&lt;"&amp;TODAY())+1),"Aucune")</f>
      </c>
    </row>
    <row r="11" ht="30" customHeight="1" spans="1:2" x14ac:dyDescent="0.25">
      <c r="A11" s="11" t="s">
        <v>24</v>
      </c>
      <c r="B11" s="12">
        <f>IFERROR(INDEX('Suivi VGP'!$B$5:$B$204,MATCH(SMALL('Suivi VGP'!$I$5:$I$204,COUNTIF('Suivi VGP'!$I$5:$I$204,"&lt;"&amp;TODAY())+1),'Suivi VGP'!$I$5:$I$204,0)),"")</f>
      </c>
    </row>
    <row r="13" spans="1:1" x14ac:dyDescent="0.25">
      <c r="A13" s="1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oddFooter>&amp;Lmodele-vgp.fr&amp;RPage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26" customWidth="1"/>
    <col min="4" max="4" width="16" customWidth="1"/>
    <col min="5" max="5" width="20" customWidth="1"/>
    <col min="6" max="6" width="14" customWidth="1"/>
    <col min="7" max="7" width="22" customWidth="1"/>
    <col min="8" max="9" width="14" customWidth="1"/>
    <col min="10" max="10" width="11" customWidth="1"/>
    <col min="11" max="11" width="16" customWidth="1"/>
    <col min="12" max="12" width="22" customWidth="1"/>
    <col min="13" max="13" width="14" customWidth="1"/>
    <col min="14" max="14" width="11" customWidth="1"/>
    <col min="15" max="15" width="36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" x14ac:dyDescent="0.25">
      <c r="A3" s="3">
        <f>"Situation au "&amp;TEXT(TODAY(),"dd/mm/yyyy")</f>
      </c>
    </row>
    <row r="4" ht="32" customHeight="1" spans="1:1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x14ac:dyDescent="0.25">
      <c r="A5" s="5">
        <v>1</v>
      </c>
      <c r="B5" s="5" t="s">
        <v>26</v>
      </c>
      <c r="C5" s="5" t="s">
        <v>27</v>
      </c>
      <c r="D5" s="5" t="s">
        <v>28</v>
      </c>
      <c r="E5" s="5" t="s">
        <v>29</v>
      </c>
      <c r="F5" s="6">
        <f>TODAY()-60</f>
      </c>
      <c r="G5" s="7">
        <f>IF(C5="","",IFERROR(VLOOKUP(C5,'Périodicités'!$A:$B,2,FALSE),""))</f>
      </c>
      <c r="H5" s="5"/>
      <c r="I5" s="8">
        <f>IF(OR(F5="",NOT(ISNUMBER(IF(H5&lt;&gt;"",H5,IFERROR(VLOOKUP(C5,'Périodicités'!$A:$C,3,FALSE),""))))),"",EDATE(F5,IF(H5&lt;&gt;"",H5,IFERROR(VLOOKUP(C5,'Périodicités'!$A:$C,3,FALSE),""))))</f>
      </c>
      <c r="J5" s="9">
        <f>IF(I5="","",I5-TODAY())</f>
      </c>
      <c r="K5" s="7">
        <f>IF(B5&amp;C5="","",IF(F5="","Date à saisir",IF(I5="","Périodicité à confirmer",IF(J5&lt;0,"En retard",IF(J5&lt;=30,"À planifier","À jour")))))</f>
      </c>
      <c r="L5" s="5" t="s">
        <v>30</v>
      </c>
      <c r="M5" s="5" t="s">
        <v>31</v>
      </c>
      <c r="N5" s="5" t="s">
        <v>32</v>
      </c>
      <c r="O5" s="10" t="s">
        <v>33</v>
      </c>
    </row>
    <row r="6" spans="1:15" x14ac:dyDescent="0.25">
      <c r="A6" s="5">
        <v>2</v>
      </c>
      <c r="B6" s="5" t="s">
        <v>34</v>
      </c>
      <c r="C6" s="5" t="s">
        <v>35</v>
      </c>
      <c r="D6" s="5" t="s">
        <v>36</v>
      </c>
      <c r="E6" s="5" t="s">
        <v>37</v>
      </c>
      <c r="F6" s="6">
        <f>TODAY()-345</f>
      </c>
      <c r="G6" s="7">
        <f>IF(C6="","",IFERROR(VLOOKUP(C6,'Périodicités'!$A:$B,2,FALSE),""))</f>
      </c>
      <c r="H6" s="5"/>
      <c r="I6" s="8">
        <f>IF(OR(F6="",NOT(ISNUMBER(IF(H6&lt;&gt;"",H6,IFERROR(VLOOKUP(C6,'Périodicités'!$A:$C,3,FALSE),""))))),"",EDATE(F6,IF(H6&lt;&gt;"",H6,IFERROR(VLOOKUP(C6,'Périodicités'!$A:$C,3,FALSE),""))))</f>
      </c>
      <c r="J6" s="9">
        <f>IF(I6="","",I6-TODAY())</f>
      </c>
      <c r="K6" s="7">
        <f>IF(B6&amp;C6="","",IF(F6="","Date à saisir",IF(I6="","Périodicité à confirmer",IF(J6&lt;0,"En retard",IF(J6&lt;=30,"À planifier","À jour")))))</f>
      </c>
      <c r="L6" s="5" t="s">
        <v>30</v>
      </c>
      <c r="M6" s="5" t="s">
        <v>38</v>
      </c>
      <c r="N6" s="5" t="s">
        <v>39</v>
      </c>
      <c r="O6" s="10" t="s">
        <v>40</v>
      </c>
    </row>
    <row r="7" spans="1:15" x14ac:dyDescent="0.25">
      <c r="A7" s="5">
        <v>3</v>
      </c>
      <c r="B7" s="5" t="s">
        <v>41</v>
      </c>
      <c r="C7" s="5" t="s">
        <v>42</v>
      </c>
      <c r="D7" s="5" t="s">
        <v>43</v>
      </c>
      <c r="E7" s="5" t="s">
        <v>44</v>
      </c>
      <c r="F7" s="6">
        <f>TODAY()-200</f>
      </c>
      <c r="G7" s="7">
        <f>IF(C7="","",IFERROR(VLOOKUP(C7,'Périodicités'!$A:$B,2,FALSE),""))</f>
      </c>
      <c r="H7" s="5"/>
      <c r="I7" s="8">
        <f>IF(OR(F7="",NOT(ISNUMBER(IF(H7&lt;&gt;"",H7,IFERROR(VLOOKUP(C7,'Périodicités'!$A:$C,3,FALSE),""))))),"",EDATE(F7,IF(H7&lt;&gt;"",H7,IFERROR(VLOOKUP(C7,'Périodicités'!$A:$C,3,FALSE),""))))</f>
      </c>
      <c r="J7" s="9">
        <f>IF(I7="","",I7-TODAY())</f>
      </c>
      <c r="K7" s="7">
        <f>IF(B7&amp;C7="","",IF(F7="","Date à saisir",IF(I7="","Périodicité à confirmer",IF(J7&lt;0,"En retard",IF(J7&lt;=30,"À planifier","À jour")))))</f>
      </c>
      <c r="L7" s="5" t="s">
        <v>30</v>
      </c>
      <c r="M7" s="5" t="s">
        <v>45</v>
      </c>
      <c r="N7" s="5" t="s">
        <v>32</v>
      </c>
      <c r="O7" s="10"/>
    </row>
    <row r="8" spans="1:15" x14ac:dyDescent="0.25">
      <c r="A8" s="5">
        <v>4</v>
      </c>
      <c r="B8" s="5"/>
      <c r="C8" s="5"/>
      <c r="D8" s="5"/>
      <c r="E8" s="5"/>
      <c r="F8" s="6"/>
      <c r="G8" s="7">
        <f>IF(C8="","",IFERROR(VLOOKUP(C8,'Périodicités'!$A:$B,2,FALSE),""))</f>
      </c>
      <c r="H8" s="5"/>
      <c r="I8" s="8">
        <f>IF(OR(F8="",NOT(ISNUMBER(IF(H8&lt;&gt;"",H8,IFERROR(VLOOKUP(C8,'Périodicités'!$A:$C,3,FALSE),""))))),"",EDATE(F8,IF(H8&lt;&gt;"",H8,IFERROR(VLOOKUP(C8,'Périodicités'!$A:$C,3,FALSE),""))))</f>
      </c>
      <c r="J8" s="9">
        <f>IF(I8="","",I8-TODAY())</f>
      </c>
      <c r="K8" s="7">
        <f>IF(B8&amp;C8="","",IF(F8="","Date à saisir",IF(I8="","Périodicité à confirmer",IF(J8&lt;0,"En retard",IF(J8&lt;=30,"À planifier","À jour")))))</f>
      </c>
      <c r="L8" s="5"/>
      <c r="M8" s="5"/>
      <c r="N8" s="5"/>
      <c r="O8" s="10"/>
    </row>
    <row r="9" spans="1:15" x14ac:dyDescent="0.25">
      <c r="A9" s="5">
        <v>5</v>
      </c>
      <c r="B9" s="5"/>
      <c r="C9" s="5"/>
      <c r="D9" s="5"/>
      <c r="E9" s="5"/>
      <c r="F9" s="6"/>
      <c r="G9" s="7">
        <f>IF(C9="","",IFERROR(VLOOKUP(C9,'Périodicités'!$A:$B,2,FALSE),""))</f>
      </c>
      <c r="H9" s="5"/>
      <c r="I9" s="8">
        <f>IF(OR(F9="",NOT(ISNUMBER(IF(H9&lt;&gt;"",H9,IFERROR(VLOOKUP(C9,'Périodicités'!$A:$C,3,FALSE),""))))),"",EDATE(F9,IF(H9&lt;&gt;"",H9,IFERROR(VLOOKUP(C9,'Périodicités'!$A:$C,3,FALSE),""))))</f>
      </c>
      <c r="J9" s="9">
        <f>IF(I9="","",I9-TODAY())</f>
      </c>
      <c r="K9" s="7">
        <f>IF(B9&amp;C9="","",IF(F9="","Date à saisir",IF(I9="","Périodicité à confirmer",IF(J9&lt;0,"En retard",IF(J9&lt;=30,"À planifier","À jour")))))</f>
      </c>
      <c r="L9" s="5"/>
      <c r="M9" s="5"/>
      <c r="N9" s="5"/>
      <c r="O9" s="10"/>
    </row>
    <row r="10" spans="1:15" x14ac:dyDescent="0.25">
      <c r="A10" s="5">
        <v>6</v>
      </c>
      <c r="B10" s="5"/>
      <c r="C10" s="5"/>
      <c r="D10" s="5"/>
      <c r="E10" s="5"/>
      <c r="F10" s="6"/>
      <c r="G10" s="7">
        <f>IF(C10="","",IFERROR(VLOOKUP(C10,'Périodicités'!$A:$B,2,FALSE),""))</f>
      </c>
      <c r="H10" s="5"/>
      <c r="I10" s="8">
        <f>IF(OR(F10="",NOT(ISNUMBER(IF(H10&lt;&gt;"",H10,IFERROR(VLOOKUP(C10,'Périodicités'!$A:$C,3,FALSE),""))))),"",EDATE(F10,IF(H10&lt;&gt;"",H10,IFERROR(VLOOKUP(C10,'Périodicités'!$A:$C,3,FALSE),""))))</f>
      </c>
      <c r="J10" s="9">
        <f>IF(I10="","",I10-TODAY())</f>
      </c>
      <c r="K10" s="7">
        <f>IF(B10&amp;C10="","",IF(F10="","Date à saisir",IF(I10="","Périodicité à confirmer",IF(J10&lt;0,"En retard",IF(J10&lt;=30,"À planifier","À jour")))))</f>
      </c>
      <c r="L10" s="5"/>
      <c r="M10" s="5"/>
      <c r="N10" s="5"/>
      <c r="O10" s="10"/>
    </row>
    <row r="11" spans="1:15" x14ac:dyDescent="0.25">
      <c r="A11" s="5">
        <v>7</v>
      </c>
      <c r="B11" s="5"/>
      <c r="C11" s="5"/>
      <c r="D11" s="5"/>
      <c r="E11" s="5"/>
      <c r="F11" s="6"/>
      <c r="G11" s="7">
        <f>IF(C11="","",IFERROR(VLOOKUP(C11,'Périodicités'!$A:$B,2,FALSE),""))</f>
      </c>
      <c r="H11" s="5"/>
      <c r="I11" s="8">
        <f>IF(OR(F11="",NOT(ISNUMBER(IF(H11&lt;&gt;"",H11,IFERROR(VLOOKUP(C11,'Périodicités'!$A:$C,3,FALSE),""))))),"",EDATE(F11,IF(H11&lt;&gt;"",H11,IFERROR(VLOOKUP(C11,'Périodicités'!$A:$C,3,FALSE),""))))</f>
      </c>
      <c r="J11" s="9">
        <f>IF(I11="","",I11-TODAY())</f>
      </c>
      <c r="K11" s="7">
        <f>IF(B11&amp;C11="","",IF(F11="","Date à saisir",IF(I11="","Périodicité à confirmer",IF(J11&lt;0,"En retard",IF(J11&lt;=30,"À planifier","À jour")))))</f>
      </c>
      <c r="L11" s="5"/>
      <c r="M11" s="5"/>
      <c r="N11" s="5"/>
      <c r="O11" s="10"/>
    </row>
    <row r="12" spans="1:15" x14ac:dyDescent="0.25">
      <c r="A12" s="5">
        <v>8</v>
      </c>
      <c r="B12" s="5"/>
      <c r="C12" s="5"/>
      <c r="D12" s="5"/>
      <c r="E12" s="5"/>
      <c r="F12" s="6"/>
      <c r="G12" s="7">
        <f>IF(C12="","",IFERROR(VLOOKUP(C12,'Périodicités'!$A:$B,2,FALSE),""))</f>
      </c>
      <c r="H12" s="5"/>
      <c r="I12" s="8">
        <f>IF(OR(F12="",NOT(ISNUMBER(IF(H12&lt;&gt;"",H12,IFERROR(VLOOKUP(C12,'Périodicités'!$A:$C,3,FALSE),""))))),"",EDATE(F12,IF(H12&lt;&gt;"",H12,IFERROR(VLOOKUP(C12,'Périodicités'!$A:$C,3,FALSE),""))))</f>
      </c>
      <c r="J12" s="9">
        <f>IF(I12="","",I12-TODAY())</f>
      </c>
      <c r="K12" s="7">
        <f>IF(B12&amp;C12="","",IF(F12="","Date à saisir",IF(I12="","Périodicité à confirmer",IF(J12&lt;0,"En retard",IF(J12&lt;=30,"À planifier","À jour")))))</f>
      </c>
      <c r="L12" s="5"/>
      <c r="M12" s="5"/>
      <c r="N12" s="5"/>
      <c r="O12" s="10"/>
    </row>
    <row r="13" spans="1:15" x14ac:dyDescent="0.25">
      <c r="A13" s="5">
        <v>9</v>
      </c>
      <c r="B13" s="5"/>
      <c r="C13" s="5"/>
      <c r="D13" s="5"/>
      <c r="E13" s="5"/>
      <c r="F13" s="6"/>
      <c r="G13" s="7">
        <f>IF(C13="","",IFERROR(VLOOKUP(C13,'Périodicités'!$A:$B,2,FALSE),""))</f>
      </c>
      <c r="H13" s="5"/>
      <c r="I13" s="8">
        <f>IF(OR(F13="",NOT(ISNUMBER(IF(H13&lt;&gt;"",H13,IFERROR(VLOOKUP(C13,'Périodicités'!$A:$C,3,FALSE),""))))),"",EDATE(F13,IF(H13&lt;&gt;"",H13,IFERROR(VLOOKUP(C13,'Périodicités'!$A:$C,3,FALSE),""))))</f>
      </c>
      <c r="J13" s="9">
        <f>IF(I13="","",I13-TODAY())</f>
      </c>
      <c r="K13" s="7">
        <f>IF(B13&amp;C13="","",IF(F13="","Date à saisir",IF(I13="","Périodicité à confirmer",IF(J13&lt;0,"En retard",IF(J13&lt;=30,"À planifier","À jour")))))</f>
      </c>
      <c r="L13" s="5"/>
      <c r="M13" s="5"/>
      <c r="N13" s="5"/>
      <c r="O13" s="10"/>
    </row>
    <row r="14" spans="1:15" x14ac:dyDescent="0.25">
      <c r="A14" s="5">
        <v>10</v>
      </c>
      <c r="B14" s="5"/>
      <c r="C14" s="5"/>
      <c r="D14" s="5"/>
      <c r="E14" s="5"/>
      <c r="F14" s="6"/>
      <c r="G14" s="7">
        <f>IF(C14="","",IFERROR(VLOOKUP(C14,'Périodicités'!$A:$B,2,FALSE),""))</f>
      </c>
      <c r="H14" s="5"/>
      <c r="I14" s="8">
        <f>IF(OR(F14="",NOT(ISNUMBER(IF(H14&lt;&gt;"",H14,IFERROR(VLOOKUP(C14,'Périodicités'!$A:$C,3,FALSE),""))))),"",EDATE(F14,IF(H14&lt;&gt;"",H14,IFERROR(VLOOKUP(C14,'Périodicités'!$A:$C,3,FALSE),""))))</f>
      </c>
      <c r="J14" s="9">
        <f>IF(I14="","",I14-TODAY())</f>
      </c>
      <c r="K14" s="7">
        <f>IF(B14&amp;C14="","",IF(F14="","Date à saisir",IF(I14="","Périodicité à confirmer",IF(J14&lt;0,"En retard",IF(J14&lt;=30,"À planifier","À jour")))))</f>
      </c>
      <c r="L14" s="5"/>
      <c r="M14" s="5"/>
      <c r="N14" s="5"/>
      <c r="O14" s="10"/>
    </row>
    <row r="15" spans="1:15" x14ac:dyDescent="0.25">
      <c r="A15" s="5">
        <v>11</v>
      </c>
      <c r="B15" s="5"/>
      <c r="C15" s="5"/>
      <c r="D15" s="5"/>
      <c r="E15" s="5"/>
      <c r="F15" s="6"/>
      <c r="G15" s="7">
        <f>IF(C15="","",IFERROR(VLOOKUP(C15,'Périodicités'!$A:$B,2,FALSE),""))</f>
      </c>
      <c r="H15" s="5"/>
      <c r="I15" s="8">
        <f>IF(OR(F15="",NOT(ISNUMBER(IF(H15&lt;&gt;"",H15,IFERROR(VLOOKUP(C15,'Périodicités'!$A:$C,3,FALSE),""))))),"",EDATE(F15,IF(H15&lt;&gt;"",H15,IFERROR(VLOOKUP(C15,'Périodicités'!$A:$C,3,FALSE),""))))</f>
      </c>
      <c r="J15" s="9">
        <f>IF(I15="","",I15-TODAY())</f>
      </c>
      <c r="K15" s="7">
        <f>IF(B15&amp;C15="","",IF(F15="","Date à saisir",IF(I15="","Périodicité à confirmer",IF(J15&lt;0,"En retard",IF(J15&lt;=30,"À planifier","À jour")))))</f>
      </c>
      <c r="L15" s="5"/>
      <c r="M15" s="5"/>
      <c r="N15" s="5"/>
      <c r="O15" s="10"/>
    </row>
    <row r="16" spans="1:15" x14ac:dyDescent="0.25">
      <c r="A16" s="5">
        <v>12</v>
      </c>
      <c r="B16" s="5"/>
      <c r="C16" s="5"/>
      <c r="D16" s="5"/>
      <c r="E16" s="5"/>
      <c r="F16" s="6"/>
      <c r="G16" s="7">
        <f>IF(C16="","",IFERROR(VLOOKUP(C16,'Périodicités'!$A:$B,2,FALSE),""))</f>
      </c>
      <c r="H16" s="5"/>
      <c r="I16" s="8">
        <f>IF(OR(F16="",NOT(ISNUMBER(IF(H16&lt;&gt;"",H16,IFERROR(VLOOKUP(C16,'Périodicités'!$A:$C,3,FALSE),""))))),"",EDATE(F16,IF(H16&lt;&gt;"",H16,IFERROR(VLOOKUP(C16,'Périodicités'!$A:$C,3,FALSE),""))))</f>
      </c>
      <c r="J16" s="9">
        <f>IF(I16="","",I16-TODAY())</f>
      </c>
      <c r="K16" s="7">
        <f>IF(B16&amp;C16="","",IF(F16="","Date à saisir",IF(I16="","Périodicité à confirmer",IF(J16&lt;0,"En retard",IF(J16&lt;=30,"À planifier","À jour")))))</f>
      </c>
      <c r="L16" s="5"/>
      <c r="M16" s="5"/>
      <c r="N16" s="5"/>
      <c r="O16" s="10"/>
    </row>
    <row r="17" spans="1:15" x14ac:dyDescent="0.25">
      <c r="A17" s="5">
        <v>13</v>
      </c>
      <c r="B17" s="5"/>
      <c r="C17" s="5"/>
      <c r="D17" s="5"/>
      <c r="E17" s="5"/>
      <c r="F17" s="6"/>
      <c r="G17" s="7">
        <f>IF(C17="","",IFERROR(VLOOKUP(C17,'Périodicités'!$A:$B,2,FALSE),""))</f>
      </c>
      <c r="H17" s="5"/>
      <c r="I17" s="8">
        <f>IF(OR(F17="",NOT(ISNUMBER(IF(H17&lt;&gt;"",H17,IFERROR(VLOOKUP(C17,'Périodicités'!$A:$C,3,FALSE),""))))),"",EDATE(F17,IF(H17&lt;&gt;"",H17,IFERROR(VLOOKUP(C17,'Périodicités'!$A:$C,3,FALSE),""))))</f>
      </c>
      <c r="J17" s="9">
        <f>IF(I17="","",I17-TODAY())</f>
      </c>
      <c r="K17" s="7">
        <f>IF(B17&amp;C17="","",IF(F17="","Date à saisir",IF(I17="","Périodicité à confirmer",IF(J17&lt;0,"En retard",IF(J17&lt;=30,"À planifier","À jour")))))</f>
      </c>
      <c r="L17" s="5"/>
      <c r="M17" s="5"/>
      <c r="N17" s="5"/>
      <c r="O17" s="10"/>
    </row>
    <row r="18" spans="1:15" x14ac:dyDescent="0.25">
      <c r="A18" s="5">
        <v>14</v>
      </c>
      <c r="B18" s="5"/>
      <c r="C18" s="5"/>
      <c r="D18" s="5"/>
      <c r="E18" s="5"/>
      <c r="F18" s="6"/>
      <c r="G18" s="7">
        <f>IF(C18="","",IFERROR(VLOOKUP(C18,'Périodicités'!$A:$B,2,FALSE),""))</f>
      </c>
      <c r="H18" s="5"/>
      <c r="I18" s="8">
        <f>IF(OR(F18="",NOT(ISNUMBER(IF(H18&lt;&gt;"",H18,IFERROR(VLOOKUP(C18,'Périodicités'!$A:$C,3,FALSE),""))))),"",EDATE(F18,IF(H18&lt;&gt;"",H18,IFERROR(VLOOKUP(C18,'Périodicités'!$A:$C,3,FALSE),""))))</f>
      </c>
      <c r="J18" s="9">
        <f>IF(I18="","",I18-TODAY())</f>
      </c>
      <c r="K18" s="7">
        <f>IF(B18&amp;C18="","",IF(F18="","Date à saisir",IF(I18="","Périodicité à confirmer",IF(J18&lt;0,"En retard",IF(J18&lt;=30,"À planifier","À jour")))))</f>
      </c>
      <c r="L18" s="5"/>
      <c r="M18" s="5"/>
      <c r="N18" s="5"/>
      <c r="O18" s="10"/>
    </row>
    <row r="19" spans="1:15" x14ac:dyDescent="0.25">
      <c r="A19" s="5">
        <v>15</v>
      </c>
      <c r="B19" s="5"/>
      <c r="C19" s="5"/>
      <c r="D19" s="5"/>
      <c r="E19" s="5"/>
      <c r="F19" s="6"/>
      <c r="G19" s="7">
        <f>IF(C19="","",IFERROR(VLOOKUP(C19,'Périodicités'!$A:$B,2,FALSE),""))</f>
      </c>
      <c r="H19" s="5"/>
      <c r="I19" s="8">
        <f>IF(OR(F19="",NOT(ISNUMBER(IF(H19&lt;&gt;"",H19,IFERROR(VLOOKUP(C19,'Périodicités'!$A:$C,3,FALSE),""))))),"",EDATE(F19,IF(H19&lt;&gt;"",H19,IFERROR(VLOOKUP(C19,'Périodicités'!$A:$C,3,FALSE),""))))</f>
      </c>
      <c r="J19" s="9">
        <f>IF(I19="","",I19-TODAY())</f>
      </c>
      <c r="K19" s="7">
        <f>IF(B19&amp;C19="","",IF(F19="","Date à saisir",IF(I19="","Périodicité à confirmer",IF(J19&lt;0,"En retard",IF(J19&lt;=30,"À planifier","À jour")))))</f>
      </c>
      <c r="L19" s="5"/>
      <c r="M19" s="5"/>
      <c r="N19" s="5"/>
      <c r="O19" s="10"/>
    </row>
    <row r="20" spans="1:15" x14ac:dyDescent="0.25">
      <c r="A20" s="5">
        <v>16</v>
      </c>
      <c r="B20" s="5"/>
      <c r="C20" s="5"/>
      <c r="D20" s="5"/>
      <c r="E20" s="5"/>
      <c r="F20" s="6"/>
      <c r="G20" s="7">
        <f>IF(C20="","",IFERROR(VLOOKUP(C20,'Périodicités'!$A:$B,2,FALSE),""))</f>
      </c>
      <c r="H20" s="5"/>
      <c r="I20" s="8">
        <f>IF(OR(F20="",NOT(ISNUMBER(IF(H20&lt;&gt;"",H20,IFERROR(VLOOKUP(C20,'Périodicités'!$A:$C,3,FALSE),""))))),"",EDATE(F20,IF(H20&lt;&gt;"",H20,IFERROR(VLOOKUP(C20,'Périodicités'!$A:$C,3,FALSE),""))))</f>
      </c>
      <c r="J20" s="9">
        <f>IF(I20="","",I20-TODAY())</f>
      </c>
      <c r="K20" s="7">
        <f>IF(B20&amp;C20="","",IF(F20="","Date à saisir",IF(I20="","Périodicité à confirmer",IF(J20&lt;0,"En retard",IF(J20&lt;=30,"À planifier","À jour")))))</f>
      </c>
      <c r="L20" s="5"/>
      <c r="M20" s="5"/>
      <c r="N20" s="5"/>
      <c r="O20" s="10"/>
    </row>
    <row r="21" spans="1:15" x14ac:dyDescent="0.25">
      <c r="A21" s="5">
        <v>17</v>
      </c>
      <c r="B21" s="5"/>
      <c r="C21" s="5"/>
      <c r="D21" s="5"/>
      <c r="E21" s="5"/>
      <c r="F21" s="6"/>
      <c r="G21" s="7">
        <f>IF(C21="","",IFERROR(VLOOKUP(C21,'Périodicités'!$A:$B,2,FALSE),""))</f>
      </c>
      <c r="H21" s="5"/>
      <c r="I21" s="8">
        <f>IF(OR(F21="",NOT(ISNUMBER(IF(H21&lt;&gt;"",H21,IFERROR(VLOOKUP(C21,'Périodicités'!$A:$C,3,FALSE),""))))),"",EDATE(F21,IF(H21&lt;&gt;"",H21,IFERROR(VLOOKUP(C21,'Périodicités'!$A:$C,3,FALSE),""))))</f>
      </c>
      <c r="J21" s="9">
        <f>IF(I21="","",I21-TODAY())</f>
      </c>
      <c r="K21" s="7">
        <f>IF(B21&amp;C21="","",IF(F21="","Date à saisir",IF(I21="","Périodicité à confirmer",IF(J21&lt;0,"En retard",IF(J21&lt;=30,"À planifier","À jour")))))</f>
      </c>
      <c r="L21" s="5"/>
      <c r="M21" s="5"/>
      <c r="N21" s="5"/>
      <c r="O21" s="10"/>
    </row>
    <row r="22" spans="1:15" x14ac:dyDescent="0.25">
      <c r="A22" s="5">
        <v>18</v>
      </c>
      <c r="B22" s="5"/>
      <c r="C22" s="5"/>
      <c r="D22" s="5"/>
      <c r="E22" s="5"/>
      <c r="F22" s="6"/>
      <c r="G22" s="7">
        <f>IF(C22="","",IFERROR(VLOOKUP(C22,'Périodicités'!$A:$B,2,FALSE),""))</f>
      </c>
      <c r="H22" s="5"/>
      <c r="I22" s="8">
        <f>IF(OR(F22="",NOT(ISNUMBER(IF(H22&lt;&gt;"",H22,IFERROR(VLOOKUP(C22,'Périodicités'!$A:$C,3,FALSE),""))))),"",EDATE(F22,IF(H22&lt;&gt;"",H22,IFERROR(VLOOKUP(C22,'Périodicités'!$A:$C,3,FALSE),""))))</f>
      </c>
      <c r="J22" s="9">
        <f>IF(I22="","",I22-TODAY())</f>
      </c>
      <c r="K22" s="7">
        <f>IF(B22&amp;C22="","",IF(F22="","Date à saisir",IF(I22="","Périodicité à confirmer",IF(J22&lt;0,"En retard",IF(J22&lt;=30,"À planifier","À jour")))))</f>
      </c>
      <c r="L22" s="5"/>
      <c r="M22" s="5"/>
      <c r="N22" s="5"/>
      <c r="O22" s="10"/>
    </row>
    <row r="23" spans="1:15" x14ac:dyDescent="0.25">
      <c r="A23" s="5">
        <v>19</v>
      </c>
      <c r="B23" s="5"/>
      <c r="C23" s="5"/>
      <c r="D23" s="5"/>
      <c r="E23" s="5"/>
      <c r="F23" s="6"/>
      <c r="G23" s="7">
        <f>IF(C23="","",IFERROR(VLOOKUP(C23,'Périodicités'!$A:$B,2,FALSE),""))</f>
      </c>
      <c r="H23" s="5"/>
      <c r="I23" s="8">
        <f>IF(OR(F23="",NOT(ISNUMBER(IF(H23&lt;&gt;"",H23,IFERROR(VLOOKUP(C23,'Périodicités'!$A:$C,3,FALSE),""))))),"",EDATE(F23,IF(H23&lt;&gt;"",H23,IFERROR(VLOOKUP(C23,'Périodicités'!$A:$C,3,FALSE),""))))</f>
      </c>
      <c r="J23" s="9">
        <f>IF(I23="","",I23-TODAY())</f>
      </c>
      <c r="K23" s="7">
        <f>IF(B23&amp;C23="","",IF(F23="","Date à saisir",IF(I23="","Périodicité à confirmer",IF(J23&lt;0,"En retard",IF(J23&lt;=30,"À planifier","À jour")))))</f>
      </c>
      <c r="L23" s="5"/>
      <c r="M23" s="5"/>
      <c r="N23" s="5"/>
      <c r="O23" s="10"/>
    </row>
    <row r="24" spans="1:15" x14ac:dyDescent="0.25">
      <c r="A24" s="5">
        <v>20</v>
      </c>
      <c r="B24" s="5"/>
      <c r="C24" s="5"/>
      <c r="D24" s="5"/>
      <c r="E24" s="5"/>
      <c r="F24" s="6"/>
      <c r="G24" s="7">
        <f>IF(C24="","",IFERROR(VLOOKUP(C24,'Périodicités'!$A:$B,2,FALSE),""))</f>
      </c>
      <c r="H24" s="5"/>
      <c r="I24" s="8">
        <f>IF(OR(F24="",NOT(ISNUMBER(IF(H24&lt;&gt;"",H24,IFERROR(VLOOKUP(C24,'Périodicités'!$A:$C,3,FALSE),""))))),"",EDATE(F24,IF(H24&lt;&gt;"",H24,IFERROR(VLOOKUP(C24,'Périodicités'!$A:$C,3,FALSE),""))))</f>
      </c>
      <c r="J24" s="9">
        <f>IF(I24="","",I24-TODAY())</f>
      </c>
      <c r="K24" s="7">
        <f>IF(B24&amp;C24="","",IF(F24="","Date à saisir",IF(I24="","Périodicité à confirmer",IF(J24&lt;0,"En retard",IF(J24&lt;=30,"À planifier","À jour")))))</f>
      </c>
      <c r="L24" s="5"/>
      <c r="M24" s="5"/>
      <c r="N24" s="5"/>
      <c r="O24" s="10"/>
    </row>
    <row r="25" spans="1:15" x14ac:dyDescent="0.25">
      <c r="A25" s="5">
        <v>21</v>
      </c>
      <c r="B25" s="5"/>
      <c r="C25" s="5"/>
      <c r="D25" s="5"/>
      <c r="E25" s="5"/>
      <c r="F25" s="6"/>
      <c r="G25" s="7">
        <f>IF(C25="","",IFERROR(VLOOKUP(C25,'Périodicités'!$A:$B,2,FALSE),""))</f>
      </c>
      <c r="H25" s="5"/>
      <c r="I25" s="8">
        <f>IF(OR(F25="",NOT(ISNUMBER(IF(H25&lt;&gt;"",H25,IFERROR(VLOOKUP(C25,'Périodicités'!$A:$C,3,FALSE),""))))),"",EDATE(F25,IF(H25&lt;&gt;"",H25,IFERROR(VLOOKUP(C25,'Périodicités'!$A:$C,3,FALSE),""))))</f>
      </c>
      <c r="J25" s="9">
        <f>IF(I25="","",I25-TODAY())</f>
      </c>
      <c r="K25" s="7">
        <f>IF(B25&amp;C25="","",IF(F25="","Date à saisir",IF(I25="","Périodicité à confirmer",IF(J25&lt;0,"En retard",IF(J25&lt;=30,"À planifier","À jour")))))</f>
      </c>
      <c r="L25" s="5"/>
      <c r="M25" s="5"/>
      <c r="N25" s="5"/>
      <c r="O25" s="10"/>
    </row>
    <row r="26" spans="1:15" x14ac:dyDescent="0.25">
      <c r="A26" s="5">
        <v>22</v>
      </c>
      <c r="B26" s="5"/>
      <c r="C26" s="5"/>
      <c r="D26" s="5"/>
      <c r="E26" s="5"/>
      <c r="F26" s="6"/>
      <c r="G26" s="7">
        <f>IF(C26="","",IFERROR(VLOOKUP(C26,'Périodicités'!$A:$B,2,FALSE),""))</f>
      </c>
      <c r="H26" s="5"/>
      <c r="I26" s="8">
        <f>IF(OR(F26="",NOT(ISNUMBER(IF(H26&lt;&gt;"",H26,IFERROR(VLOOKUP(C26,'Périodicités'!$A:$C,3,FALSE),""))))),"",EDATE(F26,IF(H26&lt;&gt;"",H26,IFERROR(VLOOKUP(C26,'Périodicités'!$A:$C,3,FALSE),""))))</f>
      </c>
      <c r="J26" s="9">
        <f>IF(I26="","",I26-TODAY())</f>
      </c>
      <c r="K26" s="7">
        <f>IF(B26&amp;C26="","",IF(F26="","Date à saisir",IF(I26="","Périodicité à confirmer",IF(J26&lt;0,"En retard",IF(J26&lt;=30,"À planifier","À jour")))))</f>
      </c>
      <c r="L26" s="5"/>
      <c r="M26" s="5"/>
      <c r="N26" s="5"/>
      <c r="O26" s="10"/>
    </row>
    <row r="27" spans="1:15" x14ac:dyDescent="0.25">
      <c r="A27" s="5">
        <v>23</v>
      </c>
      <c r="B27" s="5"/>
      <c r="C27" s="5"/>
      <c r="D27" s="5"/>
      <c r="E27" s="5"/>
      <c r="F27" s="6"/>
      <c r="G27" s="7">
        <f>IF(C27="","",IFERROR(VLOOKUP(C27,'Périodicités'!$A:$B,2,FALSE),""))</f>
      </c>
      <c r="H27" s="5"/>
      <c r="I27" s="8">
        <f>IF(OR(F27="",NOT(ISNUMBER(IF(H27&lt;&gt;"",H27,IFERROR(VLOOKUP(C27,'Périodicités'!$A:$C,3,FALSE),""))))),"",EDATE(F27,IF(H27&lt;&gt;"",H27,IFERROR(VLOOKUP(C27,'Périodicités'!$A:$C,3,FALSE),""))))</f>
      </c>
      <c r="J27" s="9">
        <f>IF(I27="","",I27-TODAY())</f>
      </c>
      <c r="K27" s="7">
        <f>IF(B27&amp;C27="","",IF(F27="","Date à saisir",IF(I27="","Périodicité à confirmer",IF(J27&lt;0,"En retard",IF(J27&lt;=30,"À planifier","À jour")))))</f>
      </c>
      <c r="L27" s="5"/>
      <c r="M27" s="5"/>
      <c r="N27" s="5"/>
      <c r="O27" s="10"/>
    </row>
    <row r="28" spans="1:15" x14ac:dyDescent="0.25">
      <c r="A28" s="5">
        <v>24</v>
      </c>
      <c r="B28" s="5"/>
      <c r="C28" s="5"/>
      <c r="D28" s="5"/>
      <c r="E28" s="5"/>
      <c r="F28" s="6"/>
      <c r="G28" s="7">
        <f>IF(C28="","",IFERROR(VLOOKUP(C28,'Périodicités'!$A:$B,2,FALSE),""))</f>
      </c>
      <c r="H28" s="5"/>
      <c r="I28" s="8">
        <f>IF(OR(F28="",NOT(ISNUMBER(IF(H28&lt;&gt;"",H28,IFERROR(VLOOKUP(C28,'Périodicités'!$A:$C,3,FALSE),""))))),"",EDATE(F28,IF(H28&lt;&gt;"",H28,IFERROR(VLOOKUP(C28,'Périodicités'!$A:$C,3,FALSE),""))))</f>
      </c>
      <c r="J28" s="9">
        <f>IF(I28="","",I28-TODAY())</f>
      </c>
      <c r="K28" s="7">
        <f>IF(B28&amp;C28="","",IF(F28="","Date à saisir",IF(I28="","Périodicité à confirmer",IF(J28&lt;0,"En retard",IF(J28&lt;=30,"À planifier","À jour")))))</f>
      </c>
      <c r="L28" s="5"/>
      <c r="M28" s="5"/>
      <c r="N28" s="5"/>
      <c r="O28" s="10"/>
    </row>
    <row r="29" spans="1:15" x14ac:dyDescent="0.25">
      <c r="A29" s="5">
        <v>25</v>
      </c>
      <c r="B29" s="5"/>
      <c r="C29" s="5"/>
      <c r="D29" s="5"/>
      <c r="E29" s="5"/>
      <c r="F29" s="6"/>
      <c r="G29" s="7">
        <f>IF(C29="","",IFERROR(VLOOKUP(C29,'Périodicités'!$A:$B,2,FALSE),""))</f>
      </c>
      <c r="H29" s="5"/>
      <c r="I29" s="8">
        <f>IF(OR(F29="",NOT(ISNUMBER(IF(H29&lt;&gt;"",H29,IFERROR(VLOOKUP(C29,'Périodicités'!$A:$C,3,FALSE),""))))),"",EDATE(F29,IF(H29&lt;&gt;"",H29,IFERROR(VLOOKUP(C29,'Périodicités'!$A:$C,3,FALSE),""))))</f>
      </c>
      <c r="J29" s="9">
        <f>IF(I29="","",I29-TODAY())</f>
      </c>
      <c r="K29" s="7">
        <f>IF(B29&amp;C29="","",IF(F29="","Date à saisir",IF(I29="","Périodicité à confirmer",IF(J29&lt;0,"En retard",IF(J29&lt;=30,"À planifier","À jour")))))</f>
      </c>
      <c r="L29" s="5"/>
      <c r="M29" s="5"/>
      <c r="N29" s="5"/>
      <c r="O29" s="10"/>
    </row>
    <row r="30" spans="1:15" x14ac:dyDescent="0.25">
      <c r="A30" s="5">
        <v>26</v>
      </c>
      <c r="B30" s="5"/>
      <c r="C30" s="5"/>
      <c r="D30" s="5"/>
      <c r="E30" s="5"/>
      <c r="F30" s="6"/>
      <c r="G30" s="7">
        <f>IF(C30="","",IFERROR(VLOOKUP(C30,'Périodicités'!$A:$B,2,FALSE),""))</f>
      </c>
      <c r="H30" s="5"/>
      <c r="I30" s="8">
        <f>IF(OR(F30="",NOT(ISNUMBER(IF(H30&lt;&gt;"",H30,IFERROR(VLOOKUP(C30,'Périodicités'!$A:$C,3,FALSE),""))))),"",EDATE(F30,IF(H30&lt;&gt;"",H30,IFERROR(VLOOKUP(C30,'Périodicités'!$A:$C,3,FALSE),""))))</f>
      </c>
      <c r="J30" s="9">
        <f>IF(I30="","",I30-TODAY())</f>
      </c>
      <c r="K30" s="7">
        <f>IF(B30&amp;C30="","",IF(F30="","Date à saisir",IF(I30="","Périodicité à confirmer",IF(J30&lt;0,"En retard",IF(J30&lt;=30,"À planifier","À jour")))))</f>
      </c>
      <c r="L30" s="5"/>
      <c r="M30" s="5"/>
      <c r="N30" s="5"/>
      <c r="O30" s="10"/>
    </row>
    <row r="31" spans="1:15" x14ac:dyDescent="0.25">
      <c r="A31" s="5">
        <v>27</v>
      </c>
      <c r="B31" s="5"/>
      <c r="C31" s="5"/>
      <c r="D31" s="5"/>
      <c r="E31" s="5"/>
      <c r="F31" s="6"/>
      <c r="G31" s="7">
        <f>IF(C31="","",IFERROR(VLOOKUP(C31,'Périodicités'!$A:$B,2,FALSE),""))</f>
      </c>
      <c r="H31" s="5"/>
      <c r="I31" s="8">
        <f>IF(OR(F31="",NOT(ISNUMBER(IF(H31&lt;&gt;"",H31,IFERROR(VLOOKUP(C31,'Périodicités'!$A:$C,3,FALSE),""))))),"",EDATE(F31,IF(H31&lt;&gt;"",H31,IFERROR(VLOOKUP(C31,'Périodicités'!$A:$C,3,FALSE),""))))</f>
      </c>
      <c r="J31" s="9">
        <f>IF(I31="","",I31-TODAY())</f>
      </c>
      <c r="K31" s="7">
        <f>IF(B31&amp;C31="","",IF(F31="","Date à saisir",IF(I31="","Périodicité à confirmer",IF(J31&lt;0,"En retard",IF(J31&lt;=30,"À planifier","À jour")))))</f>
      </c>
      <c r="L31" s="5"/>
      <c r="M31" s="5"/>
      <c r="N31" s="5"/>
      <c r="O31" s="10"/>
    </row>
    <row r="32" spans="1:15" x14ac:dyDescent="0.25">
      <c r="A32" s="5">
        <v>28</v>
      </c>
      <c r="B32" s="5"/>
      <c r="C32" s="5"/>
      <c r="D32" s="5"/>
      <c r="E32" s="5"/>
      <c r="F32" s="6"/>
      <c r="G32" s="7">
        <f>IF(C32="","",IFERROR(VLOOKUP(C32,'Périodicités'!$A:$B,2,FALSE),""))</f>
      </c>
      <c r="H32" s="5"/>
      <c r="I32" s="8">
        <f>IF(OR(F32="",NOT(ISNUMBER(IF(H32&lt;&gt;"",H32,IFERROR(VLOOKUP(C32,'Périodicités'!$A:$C,3,FALSE),""))))),"",EDATE(F32,IF(H32&lt;&gt;"",H32,IFERROR(VLOOKUP(C32,'Périodicités'!$A:$C,3,FALSE),""))))</f>
      </c>
      <c r="J32" s="9">
        <f>IF(I32="","",I32-TODAY())</f>
      </c>
      <c r="K32" s="7">
        <f>IF(B32&amp;C32="","",IF(F32="","Date à saisir",IF(I32="","Périodicité à confirmer",IF(J32&lt;0,"En retard",IF(J32&lt;=30,"À planifier","À jour")))))</f>
      </c>
      <c r="L32" s="5"/>
      <c r="M32" s="5"/>
      <c r="N32" s="5"/>
      <c r="O32" s="10"/>
    </row>
    <row r="33" spans="1:15" x14ac:dyDescent="0.25">
      <c r="A33" s="5">
        <v>29</v>
      </c>
      <c r="B33" s="5"/>
      <c r="C33" s="5"/>
      <c r="D33" s="5"/>
      <c r="E33" s="5"/>
      <c r="F33" s="6"/>
      <c r="G33" s="7">
        <f>IF(C33="","",IFERROR(VLOOKUP(C33,'Périodicités'!$A:$B,2,FALSE),""))</f>
      </c>
      <c r="H33" s="5"/>
      <c r="I33" s="8">
        <f>IF(OR(F33="",NOT(ISNUMBER(IF(H33&lt;&gt;"",H33,IFERROR(VLOOKUP(C33,'Périodicités'!$A:$C,3,FALSE),""))))),"",EDATE(F33,IF(H33&lt;&gt;"",H33,IFERROR(VLOOKUP(C33,'Périodicités'!$A:$C,3,FALSE),""))))</f>
      </c>
      <c r="J33" s="9">
        <f>IF(I33="","",I33-TODAY())</f>
      </c>
      <c r="K33" s="7">
        <f>IF(B33&amp;C33="","",IF(F33="","Date à saisir",IF(I33="","Périodicité à confirmer",IF(J33&lt;0,"En retard",IF(J33&lt;=30,"À planifier","À jour")))))</f>
      </c>
      <c r="L33" s="5"/>
      <c r="M33" s="5"/>
      <c r="N33" s="5"/>
      <c r="O33" s="10"/>
    </row>
    <row r="34" spans="1:15" x14ac:dyDescent="0.25">
      <c r="A34" s="5">
        <v>30</v>
      </c>
      <c r="B34" s="5"/>
      <c r="C34" s="5"/>
      <c r="D34" s="5"/>
      <c r="E34" s="5"/>
      <c r="F34" s="6"/>
      <c r="G34" s="7">
        <f>IF(C34="","",IFERROR(VLOOKUP(C34,'Périodicités'!$A:$B,2,FALSE),""))</f>
      </c>
      <c r="H34" s="5"/>
      <c r="I34" s="8">
        <f>IF(OR(F34="",NOT(ISNUMBER(IF(H34&lt;&gt;"",H34,IFERROR(VLOOKUP(C34,'Périodicités'!$A:$C,3,FALSE),""))))),"",EDATE(F34,IF(H34&lt;&gt;"",H34,IFERROR(VLOOKUP(C34,'Périodicités'!$A:$C,3,FALSE),""))))</f>
      </c>
      <c r="J34" s="9">
        <f>IF(I34="","",I34-TODAY())</f>
      </c>
      <c r="K34" s="7">
        <f>IF(B34&amp;C34="","",IF(F34="","Date à saisir",IF(I34="","Périodicité à confirmer",IF(J34&lt;0,"En retard",IF(J34&lt;=30,"À planifier","À jour")))))</f>
      </c>
      <c r="L34" s="5"/>
      <c r="M34" s="5"/>
      <c r="N34" s="5"/>
      <c r="O34" s="10"/>
    </row>
    <row r="35" spans="1:15" x14ac:dyDescent="0.25">
      <c r="A35" s="5">
        <v>31</v>
      </c>
      <c r="B35" s="5"/>
      <c r="C35" s="5"/>
      <c r="D35" s="5"/>
      <c r="E35" s="5"/>
      <c r="F35" s="6"/>
      <c r="G35" s="7">
        <f>IF(C35="","",IFERROR(VLOOKUP(C35,'Périodicités'!$A:$B,2,FALSE),""))</f>
      </c>
      <c r="H35" s="5"/>
      <c r="I35" s="8">
        <f>IF(OR(F35="",NOT(ISNUMBER(IF(H35&lt;&gt;"",H35,IFERROR(VLOOKUP(C35,'Périodicités'!$A:$C,3,FALSE),""))))),"",EDATE(F35,IF(H35&lt;&gt;"",H35,IFERROR(VLOOKUP(C35,'Périodicités'!$A:$C,3,FALSE),""))))</f>
      </c>
      <c r="J35" s="9">
        <f>IF(I35="","",I35-TODAY())</f>
      </c>
      <c r="K35" s="7">
        <f>IF(B35&amp;C35="","",IF(F35="","Date à saisir",IF(I35="","Périodicité à confirmer",IF(J35&lt;0,"En retard",IF(J35&lt;=30,"À planifier","À jour")))))</f>
      </c>
      <c r="L35" s="5"/>
      <c r="M35" s="5"/>
      <c r="N35" s="5"/>
      <c r="O35" s="10"/>
    </row>
    <row r="36" spans="1:15" x14ac:dyDescent="0.25">
      <c r="A36" s="5">
        <v>32</v>
      </c>
      <c r="B36" s="5"/>
      <c r="C36" s="5"/>
      <c r="D36" s="5"/>
      <c r="E36" s="5"/>
      <c r="F36" s="6"/>
      <c r="G36" s="7">
        <f>IF(C36="","",IFERROR(VLOOKUP(C36,'Périodicités'!$A:$B,2,FALSE),""))</f>
      </c>
      <c r="H36" s="5"/>
      <c r="I36" s="8">
        <f>IF(OR(F36="",NOT(ISNUMBER(IF(H36&lt;&gt;"",H36,IFERROR(VLOOKUP(C36,'Périodicités'!$A:$C,3,FALSE),""))))),"",EDATE(F36,IF(H36&lt;&gt;"",H36,IFERROR(VLOOKUP(C36,'Périodicités'!$A:$C,3,FALSE),""))))</f>
      </c>
      <c r="J36" s="9">
        <f>IF(I36="","",I36-TODAY())</f>
      </c>
      <c r="K36" s="7">
        <f>IF(B36&amp;C36="","",IF(F36="","Date à saisir",IF(I36="","Périodicité à confirmer",IF(J36&lt;0,"En retard",IF(J36&lt;=30,"À planifier","À jour")))))</f>
      </c>
      <c r="L36" s="5"/>
      <c r="M36" s="5"/>
      <c r="N36" s="5"/>
      <c r="O36" s="10"/>
    </row>
    <row r="37" spans="1:15" x14ac:dyDescent="0.25">
      <c r="A37" s="5">
        <v>33</v>
      </c>
      <c r="B37" s="5"/>
      <c r="C37" s="5"/>
      <c r="D37" s="5"/>
      <c r="E37" s="5"/>
      <c r="F37" s="6"/>
      <c r="G37" s="7">
        <f>IF(C37="","",IFERROR(VLOOKUP(C37,'Périodicités'!$A:$B,2,FALSE),""))</f>
      </c>
      <c r="H37" s="5"/>
      <c r="I37" s="8">
        <f>IF(OR(F37="",NOT(ISNUMBER(IF(H37&lt;&gt;"",H37,IFERROR(VLOOKUP(C37,'Périodicités'!$A:$C,3,FALSE),""))))),"",EDATE(F37,IF(H37&lt;&gt;"",H37,IFERROR(VLOOKUP(C37,'Périodicités'!$A:$C,3,FALSE),""))))</f>
      </c>
      <c r="J37" s="9">
        <f>IF(I37="","",I37-TODAY())</f>
      </c>
      <c r="K37" s="7">
        <f>IF(B37&amp;C37="","",IF(F37="","Date à saisir",IF(I37="","Périodicité à confirmer",IF(J37&lt;0,"En retard",IF(J37&lt;=30,"À planifier","À jour")))))</f>
      </c>
      <c r="L37" s="5"/>
      <c r="M37" s="5"/>
      <c r="N37" s="5"/>
      <c r="O37" s="10"/>
    </row>
    <row r="38" spans="1:15" x14ac:dyDescent="0.25">
      <c r="A38" s="5">
        <v>34</v>
      </c>
      <c r="B38" s="5"/>
      <c r="C38" s="5"/>
      <c r="D38" s="5"/>
      <c r="E38" s="5"/>
      <c r="F38" s="6"/>
      <c r="G38" s="7">
        <f>IF(C38="","",IFERROR(VLOOKUP(C38,'Périodicités'!$A:$B,2,FALSE),""))</f>
      </c>
      <c r="H38" s="5"/>
      <c r="I38" s="8">
        <f>IF(OR(F38="",NOT(ISNUMBER(IF(H38&lt;&gt;"",H38,IFERROR(VLOOKUP(C38,'Périodicités'!$A:$C,3,FALSE),""))))),"",EDATE(F38,IF(H38&lt;&gt;"",H38,IFERROR(VLOOKUP(C38,'Périodicités'!$A:$C,3,FALSE),""))))</f>
      </c>
      <c r="J38" s="9">
        <f>IF(I38="","",I38-TODAY())</f>
      </c>
      <c r="K38" s="7">
        <f>IF(B38&amp;C38="","",IF(F38="","Date à saisir",IF(I38="","Périodicité à confirmer",IF(J38&lt;0,"En retard",IF(J38&lt;=30,"À planifier","À jour")))))</f>
      </c>
      <c r="L38" s="5"/>
      <c r="M38" s="5"/>
      <c r="N38" s="5"/>
      <c r="O38" s="10"/>
    </row>
    <row r="39" spans="1:15" x14ac:dyDescent="0.25">
      <c r="A39" s="5">
        <v>35</v>
      </c>
      <c r="B39" s="5"/>
      <c r="C39" s="5"/>
      <c r="D39" s="5"/>
      <c r="E39" s="5"/>
      <c r="F39" s="6"/>
      <c r="G39" s="7">
        <f>IF(C39="","",IFERROR(VLOOKUP(C39,'Périodicités'!$A:$B,2,FALSE),""))</f>
      </c>
      <c r="H39" s="5"/>
      <c r="I39" s="8">
        <f>IF(OR(F39="",NOT(ISNUMBER(IF(H39&lt;&gt;"",H39,IFERROR(VLOOKUP(C39,'Périodicités'!$A:$C,3,FALSE),""))))),"",EDATE(F39,IF(H39&lt;&gt;"",H39,IFERROR(VLOOKUP(C39,'Périodicités'!$A:$C,3,FALSE),""))))</f>
      </c>
      <c r="J39" s="9">
        <f>IF(I39="","",I39-TODAY())</f>
      </c>
      <c r="K39" s="7">
        <f>IF(B39&amp;C39="","",IF(F39="","Date à saisir",IF(I39="","Périodicité à confirmer",IF(J39&lt;0,"En retard",IF(J39&lt;=30,"À planifier","À jour")))))</f>
      </c>
      <c r="L39" s="5"/>
      <c r="M39" s="5"/>
      <c r="N39" s="5"/>
      <c r="O39" s="10"/>
    </row>
    <row r="40" spans="1:15" x14ac:dyDescent="0.25">
      <c r="A40" s="5">
        <v>36</v>
      </c>
      <c r="B40" s="5"/>
      <c r="C40" s="5"/>
      <c r="D40" s="5"/>
      <c r="E40" s="5"/>
      <c r="F40" s="6"/>
      <c r="G40" s="7">
        <f>IF(C40="","",IFERROR(VLOOKUP(C40,'Périodicités'!$A:$B,2,FALSE),""))</f>
      </c>
      <c r="H40" s="5"/>
      <c r="I40" s="8">
        <f>IF(OR(F40="",NOT(ISNUMBER(IF(H40&lt;&gt;"",H40,IFERROR(VLOOKUP(C40,'Périodicités'!$A:$C,3,FALSE),""))))),"",EDATE(F40,IF(H40&lt;&gt;"",H40,IFERROR(VLOOKUP(C40,'Périodicités'!$A:$C,3,FALSE),""))))</f>
      </c>
      <c r="J40" s="9">
        <f>IF(I40="","",I40-TODAY())</f>
      </c>
      <c r="K40" s="7">
        <f>IF(B40&amp;C40="","",IF(F40="","Date à saisir",IF(I40="","Périodicité à confirmer",IF(J40&lt;0,"En retard",IF(J40&lt;=30,"À planifier","À jour")))))</f>
      </c>
      <c r="L40" s="5"/>
      <c r="M40" s="5"/>
      <c r="N40" s="5"/>
      <c r="O40" s="10"/>
    </row>
    <row r="41" spans="1:15" x14ac:dyDescent="0.25">
      <c r="A41" s="5">
        <v>37</v>
      </c>
      <c r="B41" s="5"/>
      <c r="C41" s="5"/>
      <c r="D41" s="5"/>
      <c r="E41" s="5"/>
      <c r="F41" s="6"/>
      <c r="G41" s="7">
        <f>IF(C41="","",IFERROR(VLOOKUP(C41,'Périodicités'!$A:$B,2,FALSE),""))</f>
      </c>
      <c r="H41" s="5"/>
      <c r="I41" s="8">
        <f>IF(OR(F41="",NOT(ISNUMBER(IF(H41&lt;&gt;"",H41,IFERROR(VLOOKUP(C41,'Périodicités'!$A:$C,3,FALSE),""))))),"",EDATE(F41,IF(H41&lt;&gt;"",H41,IFERROR(VLOOKUP(C41,'Périodicités'!$A:$C,3,FALSE),""))))</f>
      </c>
      <c r="J41" s="9">
        <f>IF(I41="","",I41-TODAY())</f>
      </c>
      <c r="K41" s="7">
        <f>IF(B41&amp;C41="","",IF(F41="","Date à saisir",IF(I41="","Périodicité à confirmer",IF(J41&lt;0,"En retard",IF(J41&lt;=30,"À planifier","À jour")))))</f>
      </c>
      <c r="L41" s="5"/>
      <c r="M41" s="5"/>
      <c r="N41" s="5"/>
      <c r="O41" s="10"/>
    </row>
    <row r="42" spans="1:15" x14ac:dyDescent="0.25">
      <c r="A42" s="5">
        <v>38</v>
      </c>
      <c r="B42" s="5"/>
      <c r="C42" s="5"/>
      <c r="D42" s="5"/>
      <c r="E42" s="5"/>
      <c r="F42" s="6"/>
      <c r="G42" s="7">
        <f>IF(C42="","",IFERROR(VLOOKUP(C42,'Périodicités'!$A:$B,2,FALSE),""))</f>
      </c>
      <c r="H42" s="5"/>
      <c r="I42" s="8">
        <f>IF(OR(F42="",NOT(ISNUMBER(IF(H42&lt;&gt;"",H42,IFERROR(VLOOKUP(C42,'Périodicités'!$A:$C,3,FALSE),""))))),"",EDATE(F42,IF(H42&lt;&gt;"",H42,IFERROR(VLOOKUP(C42,'Périodicités'!$A:$C,3,FALSE),""))))</f>
      </c>
      <c r="J42" s="9">
        <f>IF(I42="","",I42-TODAY())</f>
      </c>
      <c r="K42" s="7">
        <f>IF(B42&amp;C42="","",IF(F42="","Date à saisir",IF(I42="","Périodicité à confirmer",IF(J42&lt;0,"En retard",IF(J42&lt;=30,"À planifier","À jour")))))</f>
      </c>
      <c r="L42" s="5"/>
      <c r="M42" s="5"/>
      <c r="N42" s="5"/>
      <c r="O42" s="10"/>
    </row>
    <row r="43" spans="1:15" x14ac:dyDescent="0.25">
      <c r="A43" s="5">
        <v>39</v>
      </c>
      <c r="B43" s="5"/>
      <c r="C43" s="5"/>
      <c r="D43" s="5"/>
      <c r="E43" s="5"/>
      <c r="F43" s="6"/>
      <c r="G43" s="7">
        <f>IF(C43="","",IFERROR(VLOOKUP(C43,'Périodicités'!$A:$B,2,FALSE),""))</f>
      </c>
      <c r="H43" s="5"/>
      <c r="I43" s="8">
        <f>IF(OR(F43="",NOT(ISNUMBER(IF(H43&lt;&gt;"",H43,IFERROR(VLOOKUP(C43,'Périodicités'!$A:$C,3,FALSE),""))))),"",EDATE(F43,IF(H43&lt;&gt;"",H43,IFERROR(VLOOKUP(C43,'Périodicités'!$A:$C,3,FALSE),""))))</f>
      </c>
      <c r="J43" s="9">
        <f>IF(I43="","",I43-TODAY())</f>
      </c>
      <c r="K43" s="7">
        <f>IF(B43&amp;C43="","",IF(F43="","Date à saisir",IF(I43="","Périodicité à confirmer",IF(J43&lt;0,"En retard",IF(J43&lt;=30,"À planifier","À jour")))))</f>
      </c>
      <c r="L43" s="5"/>
      <c r="M43" s="5"/>
      <c r="N43" s="5"/>
      <c r="O43" s="10"/>
    </row>
    <row r="44" spans="1:15" x14ac:dyDescent="0.25">
      <c r="A44" s="5">
        <v>40</v>
      </c>
      <c r="B44" s="5"/>
      <c r="C44" s="5"/>
      <c r="D44" s="5"/>
      <c r="E44" s="5"/>
      <c r="F44" s="6"/>
      <c r="G44" s="7">
        <f>IF(C44="","",IFERROR(VLOOKUP(C44,'Périodicités'!$A:$B,2,FALSE),""))</f>
      </c>
      <c r="H44" s="5"/>
      <c r="I44" s="8">
        <f>IF(OR(F44="",NOT(ISNUMBER(IF(H44&lt;&gt;"",H44,IFERROR(VLOOKUP(C44,'Périodicités'!$A:$C,3,FALSE),""))))),"",EDATE(F44,IF(H44&lt;&gt;"",H44,IFERROR(VLOOKUP(C44,'Périodicités'!$A:$C,3,FALSE),""))))</f>
      </c>
      <c r="J44" s="9">
        <f>IF(I44="","",I44-TODAY())</f>
      </c>
      <c r="K44" s="7">
        <f>IF(B44&amp;C44="","",IF(F44="","Date à saisir",IF(I44="","Périodicité à confirmer",IF(J44&lt;0,"En retard",IF(J44&lt;=30,"À planifier","À jour")))))</f>
      </c>
      <c r="L44" s="5"/>
      <c r="M44" s="5"/>
      <c r="N44" s="5"/>
      <c r="O44" s="10"/>
    </row>
    <row r="45" spans="1:15" x14ac:dyDescent="0.25">
      <c r="A45" s="5">
        <v>41</v>
      </c>
      <c r="B45" s="5"/>
      <c r="C45" s="5"/>
      <c r="D45" s="5"/>
      <c r="E45" s="5"/>
      <c r="F45" s="6"/>
      <c r="G45" s="7">
        <f>IF(C45="","",IFERROR(VLOOKUP(C45,'Périodicités'!$A:$B,2,FALSE),""))</f>
      </c>
      <c r="H45" s="5"/>
      <c r="I45" s="8">
        <f>IF(OR(F45="",NOT(ISNUMBER(IF(H45&lt;&gt;"",H45,IFERROR(VLOOKUP(C45,'Périodicités'!$A:$C,3,FALSE),""))))),"",EDATE(F45,IF(H45&lt;&gt;"",H45,IFERROR(VLOOKUP(C45,'Périodicités'!$A:$C,3,FALSE),""))))</f>
      </c>
      <c r="J45" s="9">
        <f>IF(I45="","",I45-TODAY())</f>
      </c>
      <c r="K45" s="7">
        <f>IF(B45&amp;C45="","",IF(F45="","Date à saisir",IF(I45="","Périodicité à confirmer",IF(J45&lt;0,"En retard",IF(J45&lt;=30,"À planifier","À jour")))))</f>
      </c>
      <c r="L45" s="5"/>
      <c r="M45" s="5"/>
      <c r="N45" s="5"/>
      <c r="O45" s="10"/>
    </row>
    <row r="46" spans="1:15" x14ac:dyDescent="0.25">
      <c r="A46" s="5">
        <v>42</v>
      </c>
      <c r="B46" s="5"/>
      <c r="C46" s="5"/>
      <c r="D46" s="5"/>
      <c r="E46" s="5"/>
      <c r="F46" s="6"/>
      <c r="G46" s="7">
        <f>IF(C46="","",IFERROR(VLOOKUP(C46,'Périodicités'!$A:$B,2,FALSE),""))</f>
      </c>
      <c r="H46" s="5"/>
      <c r="I46" s="8">
        <f>IF(OR(F46="",NOT(ISNUMBER(IF(H46&lt;&gt;"",H46,IFERROR(VLOOKUP(C46,'Périodicités'!$A:$C,3,FALSE),""))))),"",EDATE(F46,IF(H46&lt;&gt;"",H46,IFERROR(VLOOKUP(C46,'Périodicités'!$A:$C,3,FALSE),""))))</f>
      </c>
      <c r="J46" s="9">
        <f>IF(I46="","",I46-TODAY())</f>
      </c>
      <c r="K46" s="7">
        <f>IF(B46&amp;C46="","",IF(F46="","Date à saisir",IF(I46="","Périodicité à confirmer",IF(J46&lt;0,"En retard",IF(J46&lt;=30,"À planifier","À jour")))))</f>
      </c>
      <c r="L46" s="5"/>
      <c r="M46" s="5"/>
      <c r="N46" s="5"/>
      <c r="O46" s="10"/>
    </row>
    <row r="47" spans="1:15" x14ac:dyDescent="0.25">
      <c r="A47" s="5">
        <v>43</v>
      </c>
      <c r="B47" s="5"/>
      <c r="C47" s="5"/>
      <c r="D47" s="5"/>
      <c r="E47" s="5"/>
      <c r="F47" s="6"/>
      <c r="G47" s="7">
        <f>IF(C47="","",IFERROR(VLOOKUP(C47,'Périodicités'!$A:$B,2,FALSE),""))</f>
      </c>
      <c r="H47" s="5"/>
      <c r="I47" s="8">
        <f>IF(OR(F47="",NOT(ISNUMBER(IF(H47&lt;&gt;"",H47,IFERROR(VLOOKUP(C47,'Périodicités'!$A:$C,3,FALSE),""))))),"",EDATE(F47,IF(H47&lt;&gt;"",H47,IFERROR(VLOOKUP(C47,'Périodicités'!$A:$C,3,FALSE),""))))</f>
      </c>
      <c r="J47" s="9">
        <f>IF(I47="","",I47-TODAY())</f>
      </c>
      <c r="K47" s="7">
        <f>IF(B47&amp;C47="","",IF(F47="","Date à saisir",IF(I47="","Périodicité à confirmer",IF(J47&lt;0,"En retard",IF(J47&lt;=30,"À planifier","À jour")))))</f>
      </c>
      <c r="L47" s="5"/>
      <c r="M47" s="5"/>
      <c r="N47" s="5"/>
      <c r="O47" s="10"/>
    </row>
    <row r="48" spans="1:15" x14ac:dyDescent="0.25">
      <c r="A48" s="5">
        <v>44</v>
      </c>
      <c r="B48" s="5"/>
      <c r="C48" s="5"/>
      <c r="D48" s="5"/>
      <c r="E48" s="5"/>
      <c r="F48" s="6"/>
      <c r="G48" s="7">
        <f>IF(C48="","",IFERROR(VLOOKUP(C48,'Périodicités'!$A:$B,2,FALSE),""))</f>
      </c>
      <c r="H48" s="5"/>
      <c r="I48" s="8">
        <f>IF(OR(F48="",NOT(ISNUMBER(IF(H48&lt;&gt;"",H48,IFERROR(VLOOKUP(C48,'Périodicités'!$A:$C,3,FALSE),""))))),"",EDATE(F48,IF(H48&lt;&gt;"",H48,IFERROR(VLOOKUP(C48,'Périodicités'!$A:$C,3,FALSE),""))))</f>
      </c>
      <c r="J48" s="9">
        <f>IF(I48="","",I48-TODAY())</f>
      </c>
      <c r="K48" s="7">
        <f>IF(B48&amp;C48="","",IF(F48="","Date à saisir",IF(I48="","Périodicité à confirmer",IF(J48&lt;0,"En retard",IF(J48&lt;=30,"À planifier","À jour")))))</f>
      </c>
      <c r="L48" s="5"/>
      <c r="M48" s="5"/>
      <c r="N48" s="5"/>
      <c r="O48" s="10"/>
    </row>
    <row r="49" spans="1:15" x14ac:dyDescent="0.25">
      <c r="A49" s="5">
        <v>45</v>
      </c>
      <c r="B49" s="5"/>
      <c r="C49" s="5"/>
      <c r="D49" s="5"/>
      <c r="E49" s="5"/>
      <c r="F49" s="6"/>
      <c r="G49" s="7">
        <f>IF(C49="","",IFERROR(VLOOKUP(C49,'Périodicités'!$A:$B,2,FALSE),""))</f>
      </c>
      <c r="H49" s="5"/>
      <c r="I49" s="8">
        <f>IF(OR(F49="",NOT(ISNUMBER(IF(H49&lt;&gt;"",H49,IFERROR(VLOOKUP(C49,'Périodicités'!$A:$C,3,FALSE),""))))),"",EDATE(F49,IF(H49&lt;&gt;"",H49,IFERROR(VLOOKUP(C49,'Périodicités'!$A:$C,3,FALSE),""))))</f>
      </c>
      <c r="J49" s="9">
        <f>IF(I49="","",I49-TODAY())</f>
      </c>
      <c r="K49" s="7">
        <f>IF(B49&amp;C49="","",IF(F49="","Date à saisir",IF(I49="","Périodicité à confirmer",IF(J49&lt;0,"En retard",IF(J49&lt;=30,"À planifier","À jour")))))</f>
      </c>
      <c r="L49" s="5"/>
      <c r="M49" s="5"/>
      <c r="N49" s="5"/>
      <c r="O49" s="10"/>
    </row>
    <row r="50" spans="1:15" x14ac:dyDescent="0.25">
      <c r="A50" s="5">
        <v>46</v>
      </c>
      <c r="B50" s="5"/>
      <c r="C50" s="5"/>
      <c r="D50" s="5"/>
      <c r="E50" s="5"/>
      <c r="F50" s="6"/>
      <c r="G50" s="7">
        <f>IF(C50="","",IFERROR(VLOOKUP(C50,'Périodicités'!$A:$B,2,FALSE),""))</f>
      </c>
      <c r="H50" s="5"/>
      <c r="I50" s="8">
        <f>IF(OR(F50="",NOT(ISNUMBER(IF(H50&lt;&gt;"",H50,IFERROR(VLOOKUP(C50,'Périodicités'!$A:$C,3,FALSE),""))))),"",EDATE(F50,IF(H50&lt;&gt;"",H50,IFERROR(VLOOKUP(C50,'Périodicités'!$A:$C,3,FALSE),""))))</f>
      </c>
      <c r="J50" s="9">
        <f>IF(I50="","",I50-TODAY())</f>
      </c>
      <c r="K50" s="7">
        <f>IF(B50&amp;C50="","",IF(F50="","Date à saisir",IF(I50="","Périodicité à confirmer",IF(J50&lt;0,"En retard",IF(J50&lt;=30,"À planifier","À jour")))))</f>
      </c>
      <c r="L50" s="5"/>
      <c r="M50" s="5"/>
      <c r="N50" s="5"/>
      <c r="O50" s="10"/>
    </row>
    <row r="51" spans="1:15" x14ac:dyDescent="0.25">
      <c r="A51" s="5">
        <v>47</v>
      </c>
      <c r="B51" s="5"/>
      <c r="C51" s="5"/>
      <c r="D51" s="5"/>
      <c r="E51" s="5"/>
      <c r="F51" s="6"/>
      <c r="G51" s="7">
        <f>IF(C51="","",IFERROR(VLOOKUP(C51,'Périodicités'!$A:$B,2,FALSE),""))</f>
      </c>
      <c r="H51" s="5"/>
      <c r="I51" s="8">
        <f>IF(OR(F51="",NOT(ISNUMBER(IF(H51&lt;&gt;"",H51,IFERROR(VLOOKUP(C51,'Périodicités'!$A:$C,3,FALSE),""))))),"",EDATE(F51,IF(H51&lt;&gt;"",H51,IFERROR(VLOOKUP(C51,'Périodicités'!$A:$C,3,FALSE),""))))</f>
      </c>
      <c r="J51" s="9">
        <f>IF(I51="","",I51-TODAY())</f>
      </c>
      <c r="K51" s="7">
        <f>IF(B51&amp;C51="","",IF(F51="","Date à saisir",IF(I51="","Périodicité à confirmer",IF(J51&lt;0,"En retard",IF(J51&lt;=30,"À planifier","À jour")))))</f>
      </c>
      <c r="L51" s="5"/>
      <c r="M51" s="5"/>
      <c r="N51" s="5"/>
      <c r="O51" s="10"/>
    </row>
    <row r="52" spans="1:15" x14ac:dyDescent="0.25">
      <c r="A52" s="5">
        <v>48</v>
      </c>
      <c r="B52" s="5"/>
      <c r="C52" s="5"/>
      <c r="D52" s="5"/>
      <c r="E52" s="5"/>
      <c r="F52" s="6"/>
      <c r="G52" s="7">
        <f>IF(C52="","",IFERROR(VLOOKUP(C52,'Périodicités'!$A:$B,2,FALSE),""))</f>
      </c>
      <c r="H52" s="5"/>
      <c r="I52" s="8">
        <f>IF(OR(F52="",NOT(ISNUMBER(IF(H52&lt;&gt;"",H52,IFERROR(VLOOKUP(C52,'Périodicités'!$A:$C,3,FALSE),""))))),"",EDATE(F52,IF(H52&lt;&gt;"",H52,IFERROR(VLOOKUP(C52,'Périodicités'!$A:$C,3,FALSE),""))))</f>
      </c>
      <c r="J52" s="9">
        <f>IF(I52="","",I52-TODAY())</f>
      </c>
      <c r="K52" s="7">
        <f>IF(B52&amp;C52="","",IF(F52="","Date à saisir",IF(I52="","Périodicité à confirmer",IF(J52&lt;0,"En retard",IF(J52&lt;=30,"À planifier","À jour")))))</f>
      </c>
      <c r="L52" s="5"/>
      <c r="M52" s="5"/>
      <c r="N52" s="5"/>
      <c r="O52" s="10"/>
    </row>
    <row r="53" spans="1:15" x14ac:dyDescent="0.25">
      <c r="A53" s="5">
        <v>49</v>
      </c>
      <c r="B53" s="5"/>
      <c r="C53" s="5"/>
      <c r="D53" s="5"/>
      <c r="E53" s="5"/>
      <c r="F53" s="6"/>
      <c r="G53" s="7">
        <f>IF(C53="","",IFERROR(VLOOKUP(C53,'Périodicités'!$A:$B,2,FALSE),""))</f>
      </c>
      <c r="H53" s="5"/>
      <c r="I53" s="8">
        <f>IF(OR(F53="",NOT(ISNUMBER(IF(H53&lt;&gt;"",H53,IFERROR(VLOOKUP(C53,'Périodicités'!$A:$C,3,FALSE),""))))),"",EDATE(F53,IF(H53&lt;&gt;"",H53,IFERROR(VLOOKUP(C53,'Périodicités'!$A:$C,3,FALSE),""))))</f>
      </c>
      <c r="J53" s="9">
        <f>IF(I53="","",I53-TODAY())</f>
      </c>
      <c r="K53" s="7">
        <f>IF(B53&amp;C53="","",IF(F53="","Date à saisir",IF(I53="","Périodicité à confirmer",IF(J53&lt;0,"En retard",IF(J53&lt;=30,"À planifier","À jour")))))</f>
      </c>
      <c r="L53" s="5"/>
      <c r="M53" s="5"/>
      <c r="N53" s="5"/>
      <c r="O53" s="10"/>
    </row>
    <row r="54" spans="1:15" x14ac:dyDescent="0.25">
      <c r="A54" s="5">
        <v>50</v>
      </c>
      <c r="B54" s="5"/>
      <c r="C54" s="5"/>
      <c r="D54" s="5"/>
      <c r="E54" s="5"/>
      <c r="F54" s="6"/>
      <c r="G54" s="7">
        <f>IF(C54="","",IFERROR(VLOOKUP(C54,'Périodicités'!$A:$B,2,FALSE),""))</f>
      </c>
      <c r="H54" s="5"/>
      <c r="I54" s="8">
        <f>IF(OR(F54="",NOT(ISNUMBER(IF(H54&lt;&gt;"",H54,IFERROR(VLOOKUP(C54,'Périodicités'!$A:$C,3,FALSE),""))))),"",EDATE(F54,IF(H54&lt;&gt;"",H54,IFERROR(VLOOKUP(C54,'Périodicités'!$A:$C,3,FALSE),""))))</f>
      </c>
      <c r="J54" s="9">
        <f>IF(I54="","",I54-TODAY())</f>
      </c>
      <c r="K54" s="7">
        <f>IF(B54&amp;C54="","",IF(F54="","Date à saisir",IF(I54="","Périodicité à confirmer",IF(J54&lt;0,"En retard",IF(J54&lt;=30,"À planifier","À jour")))))</f>
      </c>
      <c r="L54" s="5"/>
      <c r="M54" s="5"/>
      <c r="N54" s="5"/>
      <c r="O54" s="10"/>
    </row>
    <row r="55" spans="1:15" x14ac:dyDescent="0.25">
      <c r="A55" s="5">
        <v>51</v>
      </c>
      <c r="B55" s="5"/>
      <c r="C55" s="5"/>
      <c r="D55" s="5"/>
      <c r="E55" s="5"/>
      <c r="F55" s="6"/>
      <c r="G55" s="7">
        <f>IF(C55="","",IFERROR(VLOOKUP(C55,'Périodicités'!$A:$B,2,FALSE),""))</f>
      </c>
      <c r="H55" s="5"/>
      <c r="I55" s="8">
        <f>IF(OR(F55="",NOT(ISNUMBER(IF(H55&lt;&gt;"",H55,IFERROR(VLOOKUP(C55,'Périodicités'!$A:$C,3,FALSE),""))))),"",EDATE(F55,IF(H55&lt;&gt;"",H55,IFERROR(VLOOKUP(C55,'Périodicités'!$A:$C,3,FALSE),""))))</f>
      </c>
      <c r="J55" s="9">
        <f>IF(I55="","",I55-TODAY())</f>
      </c>
      <c r="K55" s="7">
        <f>IF(B55&amp;C55="","",IF(F55="","Date à saisir",IF(I55="","Périodicité à confirmer",IF(J55&lt;0,"En retard",IF(J55&lt;=30,"À planifier","À jour")))))</f>
      </c>
      <c r="L55" s="5"/>
      <c r="M55" s="5"/>
      <c r="N55" s="5"/>
      <c r="O55" s="10"/>
    </row>
    <row r="56" spans="1:15" x14ac:dyDescent="0.25">
      <c r="A56" s="5">
        <v>52</v>
      </c>
      <c r="B56" s="5"/>
      <c r="C56" s="5"/>
      <c r="D56" s="5"/>
      <c r="E56" s="5"/>
      <c r="F56" s="6"/>
      <c r="G56" s="7">
        <f>IF(C56="","",IFERROR(VLOOKUP(C56,'Périodicités'!$A:$B,2,FALSE),""))</f>
      </c>
      <c r="H56" s="5"/>
      <c r="I56" s="8">
        <f>IF(OR(F56="",NOT(ISNUMBER(IF(H56&lt;&gt;"",H56,IFERROR(VLOOKUP(C56,'Périodicités'!$A:$C,3,FALSE),""))))),"",EDATE(F56,IF(H56&lt;&gt;"",H56,IFERROR(VLOOKUP(C56,'Périodicités'!$A:$C,3,FALSE),""))))</f>
      </c>
      <c r="J56" s="9">
        <f>IF(I56="","",I56-TODAY())</f>
      </c>
      <c r="K56" s="7">
        <f>IF(B56&amp;C56="","",IF(F56="","Date à saisir",IF(I56="","Périodicité à confirmer",IF(J56&lt;0,"En retard",IF(J56&lt;=30,"À planifier","À jour")))))</f>
      </c>
      <c r="L56" s="5"/>
      <c r="M56" s="5"/>
      <c r="N56" s="5"/>
      <c r="O56" s="10"/>
    </row>
    <row r="57" spans="1:15" x14ac:dyDescent="0.25">
      <c r="A57" s="5">
        <v>53</v>
      </c>
      <c r="B57" s="5"/>
      <c r="C57" s="5"/>
      <c r="D57" s="5"/>
      <c r="E57" s="5"/>
      <c r="F57" s="6"/>
      <c r="G57" s="7">
        <f>IF(C57="","",IFERROR(VLOOKUP(C57,'Périodicités'!$A:$B,2,FALSE),""))</f>
      </c>
      <c r="H57" s="5"/>
      <c r="I57" s="8">
        <f>IF(OR(F57="",NOT(ISNUMBER(IF(H57&lt;&gt;"",H57,IFERROR(VLOOKUP(C57,'Périodicités'!$A:$C,3,FALSE),""))))),"",EDATE(F57,IF(H57&lt;&gt;"",H57,IFERROR(VLOOKUP(C57,'Périodicités'!$A:$C,3,FALSE),""))))</f>
      </c>
      <c r="J57" s="9">
        <f>IF(I57="","",I57-TODAY())</f>
      </c>
      <c r="K57" s="7">
        <f>IF(B57&amp;C57="","",IF(F57="","Date à saisir",IF(I57="","Périodicité à confirmer",IF(J57&lt;0,"En retard",IF(J57&lt;=30,"À planifier","À jour")))))</f>
      </c>
      <c r="L57" s="5"/>
      <c r="M57" s="5"/>
      <c r="N57" s="5"/>
      <c r="O57" s="10"/>
    </row>
    <row r="58" spans="1:15" x14ac:dyDescent="0.25">
      <c r="A58" s="5">
        <v>54</v>
      </c>
      <c r="B58" s="5"/>
      <c r="C58" s="5"/>
      <c r="D58" s="5"/>
      <c r="E58" s="5"/>
      <c r="F58" s="6"/>
      <c r="G58" s="7">
        <f>IF(C58="","",IFERROR(VLOOKUP(C58,'Périodicités'!$A:$B,2,FALSE),""))</f>
      </c>
      <c r="H58" s="5"/>
      <c r="I58" s="8">
        <f>IF(OR(F58="",NOT(ISNUMBER(IF(H58&lt;&gt;"",H58,IFERROR(VLOOKUP(C58,'Périodicités'!$A:$C,3,FALSE),""))))),"",EDATE(F58,IF(H58&lt;&gt;"",H58,IFERROR(VLOOKUP(C58,'Périodicités'!$A:$C,3,FALSE),""))))</f>
      </c>
      <c r="J58" s="9">
        <f>IF(I58="","",I58-TODAY())</f>
      </c>
      <c r="K58" s="7">
        <f>IF(B58&amp;C58="","",IF(F58="","Date à saisir",IF(I58="","Périodicité à confirmer",IF(J58&lt;0,"En retard",IF(J58&lt;=30,"À planifier","À jour")))))</f>
      </c>
      <c r="L58" s="5"/>
      <c r="M58" s="5"/>
      <c r="N58" s="5"/>
      <c r="O58" s="10"/>
    </row>
    <row r="59" spans="1:15" x14ac:dyDescent="0.25">
      <c r="A59" s="5">
        <v>55</v>
      </c>
      <c r="B59" s="5"/>
      <c r="C59" s="5"/>
      <c r="D59" s="5"/>
      <c r="E59" s="5"/>
      <c r="F59" s="6"/>
      <c r="G59" s="7">
        <f>IF(C59="","",IFERROR(VLOOKUP(C59,'Périodicités'!$A:$B,2,FALSE),""))</f>
      </c>
      <c r="H59" s="5"/>
      <c r="I59" s="8">
        <f>IF(OR(F59="",NOT(ISNUMBER(IF(H59&lt;&gt;"",H59,IFERROR(VLOOKUP(C59,'Périodicités'!$A:$C,3,FALSE),""))))),"",EDATE(F59,IF(H59&lt;&gt;"",H59,IFERROR(VLOOKUP(C59,'Périodicités'!$A:$C,3,FALSE),""))))</f>
      </c>
      <c r="J59" s="9">
        <f>IF(I59="","",I59-TODAY())</f>
      </c>
      <c r="K59" s="7">
        <f>IF(B59&amp;C59="","",IF(F59="","Date à saisir",IF(I59="","Périodicité à confirmer",IF(J59&lt;0,"En retard",IF(J59&lt;=30,"À planifier","À jour")))))</f>
      </c>
      <c r="L59" s="5"/>
      <c r="M59" s="5"/>
      <c r="N59" s="5"/>
      <c r="O59" s="10"/>
    </row>
    <row r="60" spans="1:15" x14ac:dyDescent="0.25">
      <c r="A60" s="5">
        <v>56</v>
      </c>
      <c r="B60" s="5"/>
      <c r="C60" s="5"/>
      <c r="D60" s="5"/>
      <c r="E60" s="5"/>
      <c r="F60" s="6"/>
      <c r="G60" s="7">
        <f>IF(C60="","",IFERROR(VLOOKUP(C60,'Périodicités'!$A:$B,2,FALSE),""))</f>
      </c>
      <c r="H60" s="5"/>
      <c r="I60" s="8">
        <f>IF(OR(F60="",NOT(ISNUMBER(IF(H60&lt;&gt;"",H60,IFERROR(VLOOKUP(C60,'Périodicités'!$A:$C,3,FALSE),""))))),"",EDATE(F60,IF(H60&lt;&gt;"",H60,IFERROR(VLOOKUP(C60,'Périodicités'!$A:$C,3,FALSE),""))))</f>
      </c>
      <c r="J60" s="9">
        <f>IF(I60="","",I60-TODAY())</f>
      </c>
      <c r="K60" s="7">
        <f>IF(B60&amp;C60="","",IF(F60="","Date à saisir",IF(I60="","Périodicité à confirmer",IF(J60&lt;0,"En retard",IF(J60&lt;=30,"À planifier","À jour")))))</f>
      </c>
      <c r="L60" s="5"/>
      <c r="M60" s="5"/>
      <c r="N60" s="5"/>
      <c r="O60" s="10"/>
    </row>
    <row r="61" spans="1:15" x14ac:dyDescent="0.25">
      <c r="A61" s="5">
        <v>57</v>
      </c>
      <c r="B61" s="5"/>
      <c r="C61" s="5"/>
      <c r="D61" s="5"/>
      <c r="E61" s="5"/>
      <c r="F61" s="6"/>
      <c r="G61" s="7">
        <f>IF(C61="","",IFERROR(VLOOKUP(C61,'Périodicités'!$A:$B,2,FALSE),""))</f>
      </c>
      <c r="H61" s="5"/>
      <c r="I61" s="8">
        <f>IF(OR(F61="",NOT(ISNUMBER(IF(H61&lt;&gt;"",H61,IFERROR(VLOOKUP(C61,'Périodicités'!$A:$C,3,FALSE),""))))),"",EDATE(F61,IF(H61&lt;&gt;"",H61,IFERROR(VLOOKUP(C61,'Périodicités'!$A:$C,3,FALSE),""))))</f>
      </c>
      <c r="J61" s="9">
        <f>IF(I61="","",I61-TODAY())</f>
      </c>
      <c r="K61" s="7">
        <f>IF(B61&amp;C61="","",IF(F61="","Date à saisir",IF(I61="","Périodicité à confirmer",IF(J61&lt;0,"En retard",IF(J61&lt;=30,"À planifier","À jour")))))</f>
      </c>
      <c r="L61" s="5"/>
      <c r="M61" s="5"/>
      <c r="N61" s="5"/>
      <c r="O61" s="10"/>
    </row>
    <row r="62" spans="1:15" x14ac:dyDescent="0.25">
      <c r="A62" s="5">
        <v>58</v>
      </c>
      <c r="B62" s="5"/>
      <c r="C62" s="5"/>
      <c r="D62" s="5"/>
      <c r="E62" s="5"/>
      <c r="F62" s="6"/>
      <c r="G62" s="7">
        <f>IF(C62="","",IFERROR(VLOOKUP(C62,'Périodicités'!$A:$B,2,FALSE),""))</f>
      </c>
      <c r="H62" s="5"/>
      <c r="I62" s="8">
        <f>IF(OR(F62="",NOT(ISNUMBER(IF(H62&lt;&gt;"",H62,IFERROR(VLOOKUP(C62,'Périodicités'!$A:$C,3,FALSE),""))))),"",EDATE(F62,IF(H62&lt;&gt;"",H62,IFERROR(VLOOKUP(C62,'Périodicités'!$A:$C,3,FALSE),""))))</f>
      </c>
      <c r="J62" s="9">
        <f>IF(I62="","",I62-TODAY())</f>
      </c>
      <c r="K62" s="7">
        <f>IF(B62&amp;C62="","",IF(F62="","Date à saisir",IF(I62="","Périodicité à confirmer",IF(J62&lt;0,"En retard",IF(J62&lt;=30,"À planifier","À jour")))))</f>
      </c>
      <c r="L62" s="5"/>
      <c r="M62" s="5"/>
      <c r="N62" s="5"/>
      <c r="O62" s="10"/>
    </row>
    <row r="63" spans="1:15" x14ac:dyDescent="0.25">
      <c r="A63" s="5">
        <v>59</v>
      </c>
      <c r="B63" s="5"/>
      <c r="C63" s="5"/>
      <c r="D63" s="5"/>
      <c r="E63" s="5"/>
      <c r="F63" s="6"/>
      <c r="G63" s="7">
        <f>IF(C63="","",IFERROR(VLOOKUP(C63,'Périodicités'!$A:$B,2,FALSE),""))</f>
      </c>
      <c r="H63" s="5"/>
      <c r="I63" s="8">
        <f>IF(OR(F63="",NOT(ISNUMBER(IF(H63&lt;&gt;"",H63,IFERROR(VLOOKUP(C63,'Périodicités'!$A:$C,3,FALSE),""))))),"",EDATE(F63,IF(H63&lt;&gt;"",H63,IFERROR(VLOOKUP(C63,'Périodicités'!$A:$C,3,FALSE),""))))</f>
      </c>
      <c r="J63" s="9">
        <f>IF(I63="","",I63-TODAY())</f>
      </c>
      <c r="K63" s="7">
        <f>IF(B63&amp;C63="","",IF(F63="","Date à saisir",IF(I63="","Périodicité à confirmer",IF(J63&lt;0,"En retard",IF(J63&lt;=30,"À planifier","À jour")))))</f>
      </c>
      <c r="L63" s="5"/>
      <c r="M63" s="5"/>
      <c r="N63" s="5"/>
      <c r="O63" s="10"/>
    </row>
    <row r="64" spans="1:15" x14ac:dyDescent="0.25">
      <c r="A64" s="5">
        <v>60</v>
      </c>
      <c r="B64" s="5"/>
      <c r="C64" s="5"/>
      <c r="D64" s="5"/>
      <c r="E64" s="5"/>
      <c r="F64" s="6"/>
      <c r="G64" s="7">
        <f>IF(C64="","",IFERROR(VLOOKUP(C64,'Périodicités'!$A:$B,2,FALSE),""))</f>
      </c>
      <c r="H64" s="5"/>
      <c r="I64" s="8">
        <f>IF(OR(F64="",NOT(ISNUMBER(IF(H64&lt;&gt;"",H64,IFERROR(VLOOKUP(C64,'Périodicités'!$A:$C,3,FALSE),""))))),"",EDATE(F64,IF(H64&lt;&gt;"",H64,IFERROR(VLOOKUP(C64,'Périodicités'!$A:$C,3,FALSE),""))))</f>
      </c>
      <c r="J64" s="9">
        <f>IF(I64="","",I64-TODAY())</f>
      </c>
      <c r="K64" s="7">
        <f>IF(B64&amp;C64="","",IF(F64="","Date à saisir",IF(I64="","Périodicité à confirmer",IF(J64&lt;0,"En retard",IF(J64&lt;=30,"À planifier","À jour")))))</f>
      </c>
      <c r="L64" s="5"/>
      <c r="M64" s="5"/>
      <c r="N64" s="5"/>
      <c r="O64" s="10"/>
    </row>
    <row r="65" spans="1:15" x14ac:dyDescent="0.25">
      <c r="A65" s="5">
        <v>61</v>
      </c>
      <c r="B65" s="5"/>
      <c r="C65" s="5"/>
      <c r="D65" s="5"/>
      <c r="E65" s="5"/>
      <c r="F65" s="6"/>
      <c r="G65" s="7">
        <f>IF(C65="","",IFERROR(VLOOKUP(C65,'Périodicités'!$A:$B,2,FALSE),""))</f>
      </c>
      <c r="H65" s="5"/>
      <c r="I65" s="8">
        <f>IF(OR(F65="",NOT(ISNUMBER(IF(H65&lt;&gt;"",H65,IFERROR(VLOOKUP(C65,'Périodicités'!$A:$C,3,FALSE),""))))),"",EDATE(F65,IF(H65&lt;&gt;"",H65,IFERROR(VLOOKUP(C65,'Périodicités'!$A:$C,3,FALSE),""))))</f>
      </c>
      <c r="J65" s="9">
        <f>IF(I65="","",I65-TODAY())</f>
      </c>
      <c r="K65" s="7">
        <f>IF(B65&amp;C65="","",IF(F65="","Date à saisir",IF(I65="","Périodicité à confirmer",IF(J65&lt;0,"En retard",IF(J65&lt;=30,"À planifier","À jour")))))</f>
      </c>
      <c r="L65" s="5"/>
      <c r="M65" s="5"/>
      <c r="N65" s="5"/>
      <c r="O65" s="10"/>
    </row>
    <row r="66" spans="1:15" x14ac:dyDescent="0.25">
      <c r="A66" s="5">
        <v>62</v>
      </c>
      <c r="B66" s="5"/>
      <c r="C66" s="5"/>
      <c r="D66" s="5"/>
      <c r="E66" s="5"/>
      <c r="F66" s="6"/>
      <c r="G66" s="7">
        <f>IF(C66="","",IFERROR(VLOOKUP(C66,'Périodicités'!$A:$B,2,FALSE),""))</f>
      </c>
      <c r="H66" s="5"/>
      <c r="I66" s="8">
        <f>IF(OR(F66="",NOT(ISNUMBER(IF(H66&lt;&gt;"",H66,IFERROR(VLOOKUP(C66,'Périodicités'!$A:$C,3,FALSE),""))))),"",EDATE(F66,IF(H66&lt;&gt;"",H66,IFERROR(VLOOKUP(C66,'Périodicités'!$A:$C,3,FALSE),""))))</f>
      </c>
      <c r="J66" s="9">
        <f>IF(I66="","",I66-TODAY())</f>
      </c>
      <c r="K66" s="7">
        <f>IF(B66&amp;C66="","",IF(F66="","Date à saisir",IF(I66="","Périodicité à confirmer",IF(J66&lt;0,"En retard",IF(J66&lt;=30,"À planifier","À jour")))))</f>
      </c>
      <c r="L66" s="5"/>
      <c r="M66" s="5"/>
      <c r="N66" s="5"/>
      <c r="O66" s="10"/>
    </row>
    <row r="67" spans="1:15" x14ac:dyDescent="0.25">
      <c r="A67" s="5">
        <v>63</v>
      </c>
      <c r="B67" s="5"/>
      <c r="C67" s="5"/>
      <c r="D67" s="5"/>
      <c r="E67" s="5"/>
      <c r="F67" s="6"/>
      <c r="G67" s="7">
        <f>IF(C67="","",IFERROR(VLOOKUP(C67,'Périodicités'!$A:$B,2,FALSE),""))</f>
      </c>
      <c r="H67" s="5"/>
      <c r="I67" s="8">
        <f>IF(OR(F67="",NOT(ISNUMBER(IF(H67&lt;&gt;"",H67,IFERROR(VLOOKUP(C67,'Périodicités'!$A:$C,3,FALSE),""))))),"",EDATE(F67,IF(H67&lt;&gt;"",H67,IFERROR(VLOOKUP(C67,'Périodicités'!$A:$C,3,FALSE),""))))</f>
      </c>
      <c r="J67" s="9">
        <f>IF(I67="","",I67-TODAY())</f>
      </c>
      <c r="K67" s="7">
        <f>IF(B67&amp;C67="","",IF(F67="","Date à saisir",IF(I67="","Périodicité à confirmer",IF(J67&lt;0,"En retard",IF(J67&lt;=30,"À planifier","À jour")))))</f>
      </c>
      <c r="L67" s="5"/>
      <c r="M67" s="5"/>
      <c r="N67" s="5"/>
      <c r="O67" s="10"/>
    </row>
    <row r="68" spans="1:15" x14ac:dyDescent="0.25">
      <c r="A68" s="5">
        <v>64</v>
      </c>
      <c r="B68" s="5"/>
      <c r="C68" s="5"/>
      <c r="D68" s="5"/>
      <c r="E68" s="5"/>
      <c r="F68" s="6"/>
      <c r="G68" s="7">
        <f>IF(C68="","",IFERROR(VLOOKUP(C68,'Périodicités'!$A:$B,2,FALSE),""))</f>
      </c>
      <c r="H68" s="5"/>
      <c r="I68" s="8">
        <f>IF(OR(F68="",NOT(ISNUMBER(IF(H68&lt;&gt;"",H68,IFERROR(VLOOKUP(C68,'Périodicités'!$A:$C,3,FALSE),""))))),"",EDATE(F68,IF(H68&lt;&gt;"",H68,IFERROR(VLOOKUP(C68,'Périodicités'!$A:$C,3,FALSE),""))))</f>
      </c>
      <c r="J68" s="9">
        <f>IF(I68="","",I68-TODAY())</f>
      </c>
      <c r="K68" s="7">
        <f>IF(B68&amp;C68="","",IF(F68="","Date à saisir",IF(I68="","Périodicité à confirmer",IF(J68&lt;0,"En retard",IF(J68&lt;=30,"À planifier","À jour")))))</f>
      </c>
      <c r="L68" s="5"/>
      <c r="M68" s="5"/>
      <c r="N68" s="5"/>
      <c r="O68" s="10"/>
    </row>
    <row r="69" spans="1:15" x14ac:dyDescent="0.25">
      <c r="A69" s="5">
        <v>65</v>
      </c>
      <c r="B69" s="5"/>
      <c r="C69" s="5"/>
      <c r="D69" s="5"/>
      <c r="E69" s="5"/>
      <c r="F69" s="6"/>
      <c r="G69" s="7">
        <f>IF(C69="","",IFERROR(VLOOKUP(C69,'Périodicités'!$A:$B,2,FALSE),""))</f>
      </c>
      <c r="H69" s="5"/>
      <c r="I69" s="8">
        <f>IF(OR(F69="",NOT(ISNUMBER(IF(H69&lt;&gt;"",H69,IFERROR(VLOOKUP(C69,'Périodicités'!$A:$C,3,FALSE),""))))),"",EDATE(F69,IF(H69&lt;&gt;"",H69,IFERROR(VLOOKUP(C69,'Périodicités'!$A:$C,3,FALSE),""))))</f>
      </c>
      <c r="J69" s="9">
        <f>IF(I69="","",I69-TODAY())</f>
      </c>
      <c r="K69" s="7">
        <f>IF(B69&amp;C69="","",IF(F69="","Date à saisir",IF(I69="","Périodicité à confirmer",IF(J69&lt;0,"En retard",IF(J69&lt;=30,"À planifier","À jour")))))</f>
      </c>
      <c r="L69" s="5"/>
      <c r="M69" s="5"/>
      <c r="N69" s="5"/>
      <c r="O69" s="10"/>
    </row>
    <row r="70" spans="1:15" x14ac:dyDescent="0.25">
      <c r="A70" s="5">
        <v>66</v>
      </c>
      <c r="B70" s="5"/>
      <c r="C70" s="5"/>
      <c r="D70" s="5"/>
      <c r="E70" s="5"/>
      <c r="F70" s="6"/>
      <c r="G70" s="7">
        <f>IF(C70="","",IFERROR(VLOOKUP(C70,'Périodicités'!$A:$B,2,FALSE),""))</f>
      </c>
      <c r="H70" s="5"/>
      <c r="I70" s="8">
        <f>IF(OR(F70="",NOT(ISNUMBER(IF(H70&lt;&gt;"",H70,IFERROR(VLOOKUP(C70,'Périodicités'!$A:$C,3,FALSE),""))))),"",EDATE(F70,IF(H70&lt;&gt;"",H70,IFERROR(VLOOKUP(C70,'Périodicités'!$A:$C,3,FALSE),""))))</f>
      </c>
      <c r="J70" s="9">
        <f>IF(I70="","",I70-TODAY())</f>
      </c>
      <c r="K70" s="7">
        <f>IF(B70&amp;C70="","",IF(F70="","Date à saisir",IF(I70="","Périodicité à confirmer",IF(J70&lt;0,"En retard",IF(J70&lt;=30,"À planifier","À jour")))))</f>
      </c>
      <c r="L70" s="5"/>
      <c r="M70" s="5"/>
      <c r="N70" s="5"/>
      <c r="O70" s="10"/>
    </row>
    <row r="71" spans="1:15" x14ac:dyDescent="0.25">
      <c r="A71" s="5">
        <v>67</v>
      </c>
      <c r="B71" s="5"/>
      <c r="C71" s="5"/>
      <c r="D71" s="5"/>
      <c r="E71" s="5"/>
      <c r="F71" s="6"/>
      <c r="G71" s="7">
        <f>IF(C71="","",IFERROR(VLOOKUP(C71,'Périodicités'!$A:$B,2,FALSE),""))</f>
      </c>
      <c r="H71" s="5"/>
      <c r="I71" s="8">
        <f>IF(OR(F71="",NOT(ISNUMBER(IF(H71&lt;&gt;"",H71,IFERROR(VLOOKUP(C71,'Périodicités'!$A:$C,3,FALSE),""))))),"",EDATE(F71,IF(H71&lt;&gt;"",H71,IFERROR(VLOOKUP(C71,'Périodicités'!$A:$C,3,FALSE),""))))</f>
      </c>
      <c r="J71" s="9">
        <f>IF(I71="","",I71-TODAY())</f>
      </c>
      <c r="K71" s="7">
        <f>IF(B71&amp;C71="","",IF(F71="","Date à saisir",IF(I71="","Périodicité à confirmer",IF(J71&lt;0,"En retard",IF(J71&lt;=30,"À planifier","À jour")))))</f>
      </c>
      <c r="L71" s="5"/>
      <c r="M71" s="5"/>
      <c r="N71" s="5"/>
      <c r="O71" s="10"/>
    </row>
    <row r="72" spans="1:15" x14ac:dyDescent="0.25">
      <c r="A72" s="5">
        <v>68</v>
      </c>
      <c r="B72" s="5"/>
      <c r="C72" s="5"/>
      <c r="D72" s="5"/>
      <c r="E72" s="5"/>
      <c r="F72" s="6"/>
      <c r="G72" s="7">
        <f>IF(C72="","",IFERROR(VLOOKUP(C72,'Périodicités'!$A:$B,2,FALSE),""))</f>
      </c>
      <c r="H72" s="5"/>
      <c r="I72" s="8">
        <f>IF(OR(F72="",NOT(ISNUMBER(IF(H72&lt;&gt;"",H72,IFERROR(VLOOKUP(C72,'Périodicités'!$A:$C,3,FALSE),""))))),"",EDATE(F72,IF(H72&lt;&gt;"",H72,IFERROR(VLOOKUP(C72,'Périodicités'!$A:$C,3,FALSE),""))))</f>
      </c>
      <c r="J72" s="9">
        <f>IF(I72="","",I72-TODAY())</f>
      </c>
      <c r="K72" s="7">
        <f>IF(B72&amp;C72="","",IF(F72="","Date à saisir",IF(I72="","Périodicité à confirmer",IF(J72&lt;0,"En retard",IF(J72&lt;=30,"À planifier","À jour")))))</f>
      </c>
      <c r="L72" s="5"/>
      <c r="M72" s="5"/>
      <c r="N72" s="5"/>
      <c r="O72" s="10"/>
    </row>
    <row r="73" spans="1:15" x14ac:dyDescent="0.25">
      <c r="A73" s="5">
        <v>69</v>
      </c>
      <c r="B73" s="5"/>
      <c r="C73" s="5"/>
      <c r="D73" s="5"/>
      <c r="E73" s="5"/>
      <c r="F73" s="6"/>
      <c r="G73" s="7">
        <f>IF(C73="","",IFERROR(VLOOKUP(C73,'Périodicités'!$A:$B,2,FALSE),""))</f>
      </c>
      <c r="H73" s="5"/>
      <c r="I73" s="8">
        <f>IF(OR(F73="",NOT(ISNUMBER(IF(H73&lt;&gt;"",H73,IFERROR(VLOOKUP(C73,'Périodicités'!$A:$C,3,FALSE),""))))),"",EDATE(F73,IF(H73&lt;&gt;"",H73,IFERROR(VLOOKUP(C73,'Périodicités'!$A:$C,3,FALSE),""))))</f>
      </c>
      <c r="J73" s="9">
        <f>IF(I73="","",I73-TODAY())</f>
      </c>
      <c r="K73" s="7">
        <f>IF(B73&amp;C73="","",IF(F73="","Date à saisir",IF(I73="","Périodicité à confirmer",IF(J73&lt;0,"En retard",IF(J73&lt;=30,"À planifier","À jour")))))</f>
      </c>
      <c r="L73" s="5"/>
      <c r="M73" s="5"/>
      <c r="N73" s="5"/>
      <c r="O73" s="10"/>
    </row>
    <row r="74" spans="1:15" x14ac:dyDescent="0.25">
      <c r="A74" s="5">
        <v>70</v>
      </c>
      <c r="B74" s="5"/>
      <c r="C74" s="5"/>
      <c r="D74" s="5"/>
      <c r="E74" s="5"/>
      <c r="F74" s="6"/>
      <c r="G74" s="7">
        <f>IF(C74="","",IFERROR(VLOOKUP(C74,'Périodicités'!$A:$B,2,FALSE),""))</f>
      </c>
      <c r="H74" s="5"/>
      <c r="I74" s="8">
        <f>IF(OR(F74="",NOT(ISNUMBER(IF(H74&lt;&gt;"",H74,IFERROR(VLOOKUP(C74,'Périodicités'!$A:$C,3,FALSE),""))))),"",EDATE(F74,IF(H74&lt;&gt;"",H74,IFERROR(VLOOKUP(C74,'Périodicités'!$A:$C,3,FALSE),""))))</f>
      </c>
      <c r="J74" s="9">
        <f>IF(I74="","",I74-TODAY())</f>
      </c>
      <c r="K74" s="7">
        <f>IF(B74&amp;C74="","",IF(F74="","Date à saisir",IF(I74="","Périodicité à confirmer",IF(J74&lt;0,"En retard",IF(J74&lt;=30,"À planifier","À jour")))))</f>
      </c>
      <c r="L74" s="5"/>
      <c r="M74" s="5"/>
      <c r="N74" s="5"/>
      <c r="O74" s="10"/>
    </row>
    <row r="75" spans="1:15" x14ac:dyDescent="0.25">
      <c r="A75" s="5">
        <v>71</v>
      </c>
      <c r="B75" s="5"/>
      <c r="C75" s="5"/>
      <c r="D75" s="5"/>
      <c r="E75" s="5"/>
      <c r="F75" s="6"/>
      <c r="G75" s="7">
        <f>IF(C75="","",IFERROR(VLOOKUP(C75,'Périodicités'!$A:$B,2,FALSE),""))</f>
      </c>
      <c r="H75" s="5"/>
      <c r="I75" s="8">
        <f>IF(OR(F75="",NOT(ISNUMBER(IF(H75&lt;&gt;"",H75,IFERROR(VLOOKUP(C75,'Périodicités'!$A:$C,3,FALSE),""))))),"",EDATE(F75,IF(H75&lt;&gt;"",H75,IFERROR(VLOOKUP(C75,'Périodicités'!$A:$C,3,FALSE),""))))</f>
      </c>
      <c r="J75" s="9">
        <f>IF(I75="","",I75-TODAY())</f>
      </c>
      <c r="K75" s="7">
        <f>IF(B75&amp;C75="","",IF(F75="","Date à saisir",IF(I75="","Périodicité à confirmer",IF(J75&lt;0,"En retard",IF(J75&lt;=30,"À planifier","À jour")))))</f>
      </c>
      <c r="L75" s="5"/>
      <c r="M75" s="5"/>
      <c r="N75" s="5"/>
      <c r="O75" s="10"/>
    </row>
    <row r="76" spans="1:15" x14ac:dyDescent="0.25">
      <c r="A76" s="5">
        <v>72</v>
      </c>
      <c r="B76" s="5"/>
      <c r="C76" s="5"/>
      <c r="D76" s="5"/>
      <c r="E76" s="5"/>
      <c r="F76" s="6"/>
      <c r="G76" s="7">
        <f>IF(C76="","",IFERROR(VLOOKUP(C76,'Périodicités'!$A:$B,2,FALSE),""))</f>
      </c>
      <c r="H76" s="5"/>
      <c r="I76" s="8">
        <f>IF(OR(F76="",NOT(ISNUMBER(IF(H76&lt;&gt;"",H76,IFERROR(VLOOKUP(C76,'Périodicités'!$A:$C,3,FALSE),""))))),"",EDATE(F76,IF(H76&lt;&gt;"",H76,IFERROR(VLOOKUP(C76,'Périodicités'!$A:$C,3,FALSE),""))))</f>
      </c>
      <c r="J76" s="9">
        <f>IF(I76="","",I76-TODAY())</f>
      </c>
      <c r="K76" s="7">
        <f>IF(B76&amp;C76="","",IF(F76="","Date à saisir",IF(I76="","Périodicité à confirmer",IF(J76&lt;0,"En retard",IF(J76&lt;=30,"À planifier","À jour")))))</f>
      </c>
      <c r="L76" s="5"/>
      <c r="M76" s="5"/>
      <c r="N76" s="5"/>
      <c r="O76" s="10"/>
    </row>
    <row r="77" spans="1:15" x14ac:dyDescent="0.25">
      <c r="A77" s="5">
        <v>73</v>
      </c>
      <c r="B77" s="5"/>
      <c r="C77" s="5"/>
      <c r="D77" s="5"/>
      <c r="E77" s="5"/>
      <c r="F77" s="6"/>
      <c r="G77" s="7">
        <f>IF(C77="","",IFERROR(VLOOKUP(C77,'Périodicités'!$A:$B,2,FALSE),""))</f>
      </c>
      <c r="H77" s="5"/>
      <c r="I77" s="8">
        <f>IF(OR(F77="",NOT(ISNUMBER(IF(H77&lt;&gt;"",H77,IFERROR(VLOOKUP(C77,'Périodicités'!$A:$C,3,FALSE),""))))),"",EDATE(F77,IF(H77&lt;&gt;"",H77,IFERROR(VLOOKUP(C77,'Périodicités'!$A:$C,3,FALSE),""))))</f>
      </c>
      <c r="J77" s="9">
        <f>IF(I77="","",I77-TODAY())</f>
      </c>
      <c r="K77" s="7">
        <f>IF(B77&amp;C77="","",IF(F77="","Date à saisir",IF(I77="","Périodicité à confirmer",IF(J77&lt;0,"En retard",IF(J77&lt;=30,"À planifier","À jour")))))</f>
      </c>
      <c r="L77" s="5"/>
      <c r="M77" s="5"/>
      <c r="N77" s="5"/>
      <c r="O77" s="10"/>
    </row>
    <row r="78" spans="1:15" x14ac:dyDescent="0.25">
      <c r="A78" s="5">
        <v>74</v>
      </c>
      <c r="B78" s="5"/>
      <c r="C78" s="5"/>
      <c r="D78" s="5"/>
      <c r="E78" s="5"/>
      <c r="F78" s="6"/>
      <c r="G78" s="7">
        <f>IF(C78="","",IFERROR(VLOOKUP(C78,'Périodicités'!$A:$B,2,FALSE),""))</f>
      </c>
      <c r="H78" s="5"/>
      <c r="I78" s="8">
        <f>IF(OR(F78="",NOT(ISNUMBER(IF(H78&lt;&gt;"",H78,IFERROR(VLOOKUP(C78,'Périodicités'!$A:$C,3,FALSE),""))))),"",EDATE(F78,IF(H78&lt;&gt;"",H78,IFERROR(VLOOKUP(C78,'Périodicités'!$A:$C,3,FALSE),""))))</f>
      </c>
      <c r="J78" s="9">
        <f>IF(I78="","",I78-TODAY())</f>
      </c>
      <c r="K78" s="7">
        <f>IF(B78&amp;C78="","",IF(F78="","Date à saisir",IF(I78="","Périodicité à confirmer",IF(J78&lt;0,"En retard",IF(J78&lt;=30,"À planifier","À jour")))))</f>
      </c>
      <c r="L78" s="5"/>
      <c r="M78" s="5"/>
      <c r="N78" s="5"/>
      <c r="O78" s="10"/>
    </row>
    <row r="79" spans="1:15" x14ac:dyDescent="0.25">
      <c r="A79" s="5">
        <v>75</v>
      </c>
      <c r="B79" s="5"/>
      <c r="C79" s="5"/>
      <c r="D79" s="5"/>
      <c r="E79" s="5"/>
      <c r="F79" s="6"/>
      <c r="G79" s="7">
        <f>IF(C79="","",IFERROR(VLOOKUP(C79,'Périodicités'!$A:$B,2,FALSE),""))</f>
      </c>
      <c r="H79" s="5"/>
      <c r="I79" s="8">
        <f>IF(OR(F79="",NOT(ISNUMBER(IF(H79&lt;&gt;"",H79,IFERROR(VLOOKUP(C79,'Périodicités'!$A:$C,3,FALSE),""))))),"",EDATE(F79,IF(H79&lt;&gt;"",H79,IFERROR(VLOOKUP(C79,'Périodicités'!$A:$C,3,FALSE),""))))</f>
      </c>
      <c r="J79" s="9">
        <f>IF(I79="","",I79-TODAY())</f>
      </c>
      <c r="K79" s="7">
        <f>IF(B79&amp;C79="","",IF(F79="","Date à saisir",IF(I79="","Périodicité à confirmer",IF(J79&lt;0,"En retard",IF(J79&lt;=30,"À planifier","À jour")))))</f>
      </c>
      <c r="L79" s="5"/>
      <c r="M79" s="5"/>
      <c r="N79" s="5"/>
      <c r="O79" s="10"/>
    </row>
    <row r="80" spans="1:15" x14ac:dyDescent="0.25">
      <c r="A80" s="5">
        <v>76</v>
      </c>
      <c r="B80" s="5"/>
      <c r="C80" s="5"/>
      <c r="D80" s="5"/>
      <c r="E80" s="5"/>
      <c r="F80" s="6"/>
      <c r="G80" s="7">
        <f>IF(C80="","",IFERROR(VLOOKUP(C80,'Périodicités'!$A:$B,2,FALSE),""))</f>
      </c>
      <c r="H80" s="5"/>
      <c r="I80" s="8">
        <f>IF(OR(F80="",NOT(ISNUMBER(IF(H80&lt;&gt;"",H80,IFERROR(VLOOKUP(C80,'Périodicités'!$A:$C,3,FALSE),""))))),"",EDATE(F80,IF(H80&lt;&gt;"",H80,IFERROR(VLOOKUP(C80,'Périodicités'!$A:$C,3,FALSE),""))))</f>
      </c>
      <c r="J80" s="9">
        <f>IF(I80="","",I80-TODAY())</f>
      </c>
      <c r="K80" s="7">
        <f>IF(B80&amp;C80="","",IF(F80="","Date à saisir",IF(I80="","Périodicité à confirmer",IF(J80&lt;0,"En retard",IF(J80&lt;=30,"À planifier","À jour")))))</f>
      </c>
      <c r="L80" s="5"/>
      <c r="M80" s="5"/>
      <c r="N80" s="5"/>
      <c r="O80" s="10"/>
    </row>
    <row r="81" spans="1:15" x14ac:dyDescent="0.25">
      <c r="A81" s="5">
        <v>77</v>
      </c>
      <c r="B81" s="5"/>
      <c r="C81" s="5"/>
      <c r="D81" s="5"/>
      <c r="E81" s="5"/>
      <c r="F81" s="6"/>
      <c r="G81" s="7">
        <f>IF(C81="","",IFERROR(VLOOKUP(C81,'Périodicités'!$A:$B,2,FALSE),""))</f>
      </c>
      <c r="H81" s="5"/>
      <c r="I81" s="8">
        <f>IF(OR(F81="",NOT(ISNUMBER(IF(H81&lt;&gt;"",H81,IFERROR(VLOOKUP(C81,'Périodicités'!$A:$C,3,FALSE),""))))),"",EDATE(F81,IF(H81&lt;&gt;"",H81,IFERROR(VLOOKUP(C81,'Périodicités'!$A:$C,3,FALSE),""))))</f>
      </c>
      <c r="J81" s="9">
        <f>IF(I81="","",I81-TODAY())</f>
      </c>
      <c r="K81" s="7">
        <f>IF(B81&amp;C81="","",IF(F81="","Date à saisir",IF(I81="","Périodicité à confirmer",IF(J81&lt;0,"En retard",IF(J81&lt;=30,"À planifier","À jour")))))</f>
      </c>
      <c r="L81" s="5"/>
      <c r="M81" s="5"/>
      <c r="N81" s="5"/>
      <c r="O81" s="10"/>
    </row>
    <row r="82" spans="1:15" x14ac:dyDescent="0.25">
      <c r="A82" s="5">
        <v>78</v>
      </c>
      <c r="B82" s="5"/>
      <c r="C82" s="5"/>
      <c r="D82" s="5"/>
      <c r="E82" s="5"/>
      <c r="F82" s="6"/>
      <c r="G82" s="7">
        <f>IF(C82="","",IFERROR(VLOOKUP(C82,'Périodicités'!$A:$B,2,FALSE),""))</f>
      </c>
      <c r="H82" s="5"/>
      <c r="I82" s="8">
        <f>IF(OR(F82="",NOT(ISNUMBER(IF(H82&lt;&gt;"",H82,IFERROR(VLOOKUP(C82,'Périodicités'!$A:$C,3,FALSE),""))))),"",EDATE(F82,IF(H82&lt;&gt;"",H82,IFERROR(VLOOKUP(C82,'Périodicités'!$A:$C,3,FALSE),""))))</f>
      </c>
      <c r="J82" s="9">
        <f>IF(I82="","",I82-TODAY())</f>
      </c>
      <c r="K82" s="7">
        <f>IF(B82&amp;C82="","",IF(F82="","Date à saisir",IF(I82="","Périodicité à confirmer",IF(J82&lt;0,"En retard",IF(J82&lt;=30,"À planifier","À jour")))))</f>
      </c>
      <c r="L82" s="5"/>
      <c r="M82" s="5"/>
      <c r="N82" s="5"/>
      <c r="O82" s="10"/>
    </row>
    <row r="83" spans="1:15" x14ac:dyDescent="0.25">
      <c r="A83" s="5">
        <v>79</v>
      </c>
      <c r="B83" s="5"/>
      <c r="C83" s="5"/>
      <c r="D83" s="5"/>
      <c r="E83" s="5"/>
      <c r="F83" s="6"/>
      <c r="G83" s="7">
        <f>IF(C83="","",IFERROR(VLOOKUP(C83,'Périodicités'!$A:$B,2,FALSE),""))</f>
      </c>
      <c r="H83" s="5"/>
      <c r="I83" s="8">
        <f>IF(OR(F83="",NOT(ISNUMBER(IF(H83&lt;&gt;"",H83,IFERROR(VLOOKUP(C83,'Périodicités'!$A:$C,3,FALSE),""))))),"",EDATE(F83,IF(H83&lt;&gt;"",H83,IFERROR(VLOOKUP(C83,'Périodicités'!$A:$C,3,FALSE),""))))</f>
      </c>
      <c r="J83" s="9">
        <f>IF(I83="","",I83-TODAY())</f>
      </c>
      <c r="K83" s="7">
        <f>IF(B83&amp;C83="","",IF(F83="","Date à saisir",IF(I83="","Périodicité à confirmer",IF(J83&lt;0,"En retard",IF(J83&lt;=30,"À planifier","À jour")))))</f>
      </c>
      <c r="L83" s="5"/>
      <c r="M83" s="5"/>
      <c r="N83" s="5"/>
      <c r="O83" s="10"/>
    </row>
    <row r="84" spans="1:15" x14ac:dyDescent="0.25">
      <c r="A84" s="5">
        <v>80</v>
      </c>
      <c r="B84" s="5"/>
      <c r="C84" s="5"/>
      <c r="D84" s="5"/>
      <c r="E84" s="5"/>
      <c r="F84" s="6"/>
      <c r="G84" s="7">
        <f>IF(C84="","",IFERROR(VLOOKUP(C84,'Périodicités'!$A:$B,2,FALSE),""))</f>
      </c>
      <c r="H84" s="5"/>
      <c r="I84" s="8">
        <f>IF(OR(F84="",NOT(ISNUMBER(IF(H84&lt;&gt;"",H84,IFERROR(VLOOKUP(C84,'Périodicités'!$A:$C,3,FALSE),""))))),"",EDATE(F84,IF(H84&lt;&gt;"",H84,IFERROR(VLOOKUP(C84,'Périodicités'!$A:$C,3,FALSE),""))))</f>
      </c>
      <c r="J84" s="9">
        <f>IF(I84="","",I84-TODAY())</f>
      </c>
      <c r="K84" s="7">
        <f>IF(B84&amp;C84="","",IF(F84="","Date à saisir",IF(I84="","Périodicité à confirmer",IF(J84&lt;0,"En retard",IF(J84&lt;=30,"À planifier","À jour")))))</f>
      </c>
      <c r="L84" s="5"/>
      <c r="M84" s="5"/>
      <c r="N84" s="5"/>
      <c r="O84" s="10"/>
    </row>
    <row r="85" spans="1:15" x14ac:dyDescent="0.25">
      <c r="A85" s="5">
        <v>81</v>
      </c>
      <c r="B85" s="5"/>
      <c r="C85" s="5"/>
      <c r="D85" s="5"/>
      <c r="E85" s="5"/>
      <c r="F85" s="6"/>
      <c r="G85" s="7">
        <f>IF(C85="","",IFERROR(VLOOKUP(C85,'Périodicités'!$A:$B,2,FALSE),""))</f>
      </c>
      <c r="H85" s="5"/>
      <c r="I85" s="8">
        <f>IF(OR(F85="",NOT(ISNUMBER(IF(H85&lt;&gt;"",H85,IFERROR(VLOOKUP(C85,'Périodicités'!$A:$C,3,FALSE),""))))),"",EDATE(F85,IF(H85&lt;&gt;"",H85,IFERROR(VLOOKUP(C85,'Périodicités'!$A:$C,3,FALSE),""))))</f>
      </c>
      <c r="J85" s="9">
        <f>IF(I85="","",I85-TODAY())</f>
      </c>
      <c r="K85" s="7">
        <f>IF(B85&amp;C85="","",IF(F85="","Date à saisir",IF(I85="","Périodicité à confirmer",IF(J85&lt;0,"En retard",IF(J85&lt;=30,"À planifier","À jour")))))</f>
      </c>
      <c r="L85" s="5"/>
      <c r="M85" s="5"/>
      <c r="N85" s="5"/>
      <c r="O85" s="10"/>
    </row>
    <row r="86" spans="1:15" x14ac:dyDescent="0.25">
      <c r="A86" s="5">
        <v>82</v>
      </c>
      <c r="B86" s="5"/>
      <c r="C86" s="5"/>
      <c r="D86" s="5"/>
      <c r="E86" s="5"/>
      <c r="F86" s="6"/>
      <c r="G86" s="7">
        <f>IF(C86="","",IFERROR(VLOOKUP(C86,'Périodicités'!$A:$B,2,FALSE),""))</f>
      </c>
      <c r="H86" s="5"/>
      <c r="I86" s="8">
        <f>IF(OR(F86="",NOT(ISNUMBER(IF(H86&lt;&gt;"",H86,IFERROR(VLOOKUP(C86,'Périodicités'!$A:$C,3,FALSE),""))))),"",EDATE(F86,IF(H86&lt;&gt;"",H86,IFERROR(VLOOKUP(C86,'Périodicités'!$A:$C,3,FALSE),""))))</f>
      </c>
      <c r="J86" s="9">
        <f>IF(I86="","",I86-TODAY())</f>
      </c>
      <c r="K86" s="7">
        <f>IF(B86&amp;C86="","",IF(F86="","Date à saisir",IF(I86="","Périodicité à confirmer",IF(J86&lt;0,"En retard",IF(J86&lt;=30,"À planifier","À jour")))))</f>
      </c>
      <c r="L86" s="5"/>
      <c r="M86" s="5"/>
      <c r="N86" s="5"/>
      <c r="O86" s="10"/>
    </row>
    <row r="87" spans="1:15" x14ac:dyDescent="0.25">
      <c r="A87" s="5">
        <v>83</v>
      </c>
      <c r="B87" s="5"/>
      <c r="C87" s="5"/>
      <c r="D87" s="5"/>
      <c r="E87" s="5"/>
      <c r="F87" s="6"/>
      <c r="G87" s="7">
        <f>IF(C87="","",IFERROR(VLOOKUP(C87,'Périodicités'!$A:$B,2,FALSE),""))</f>
      </c>
      <c r="H87" s="5"/>
      <c r="I87" s="8">
        <f>IF(OR(F87="",NOT(ISNUMBER(IF(H87&lt;&gt;"",H87,IFERROR(VLOOKUP(C87,'Périodicités'!$A:$C,3,FALSE),""))))),"",EDATE(F87,IF(H87&lt;&gt;"",H87,IFERROR(VLOOKUP(C87,'Périodicités'!$A:$C,3,FALSE),""))))</f>
      </c>
      <c r="J87" s="9">
        <f>IF(I87="","",I87-TODAY())</f>
      </c>
      <c r="K87" s="7">
        <f>IF(B87&amp;C87="","",IF(F87="","Date à saisir",IF(I87="","Périodicité à confirmer",IF(J87&lt;0,"En retard",IF(J87&lt;=30,"À planifier","À jour")))))</f>
      </c>
      <c r="L87" s="5"/>
      <c r="M87" s="5"/>
      <c r="N87" s="5"/>
      <c r="O87" s="10"/>
    </row>
    <row r="88" spans="1:15" x14ac:dyDescent="0.25">
      <c r="A88" s="5">
        <v>84</v>
      </c>
      <c r="B88" s="5"/>
      <c r="C88" s="5"/>
      <c r="D88" s="5"/>
      <c r="E88" s="5"/>
      <c r="F88" s="6"/>
      <c r="G88" s="7">
        <f>IF(C88="","",IFERROR(VLOOKUP(C88,'Périodicités'!$A:$B,2,FALSE),""))</f>
      </c>
      <c r="H88" s="5"/>
      <c r="I88" s="8">
        <f>IF(OR(F88="",NOT(ISNUMBER(IF(H88&lt;&gt;"",H88,IFERROR(VLOOKUP(C88,'Périodicités'!$A:$C,3,FALSE),""))))),"",EDATE(F88,IF(H88&lt;&gt;"",H88,IFERROR(VLOOKUP(C88,'Périodicités'!$A:$C,3,FALSE),""))))</f>
      </c>
      <c r="J88" s="9">
        <f>IF(I88="","",I88-TODAY())</f>
      </c>
      <c r="K88" s="7">
        <f>IF(B88&amp;C88="","",IF(F88="","Date à saisir",IF(I88="","Périodicité à confirmer",IF(J88&lt;0,"En retard",IF(J88&lt;=30,"À planifier","À jour")))))</f>
      </c>
      <c r="L88" s="5"/>
      <c r="M88" s="5"/>
      <c r="N88" s="5"/>
      <c r="O88" s="10"/>
    </row>
    <row r="89" spans="1:15" x14ac:dyDescent="0.25">
      <c r="A89" s="5">
        <v>85</v>
      </c>
      <c r="B89" s="5"/>
      <c r="C89" s="5"/>
      <c r="D89" s="5"/>
      <c r="E89" s="5"/>
      <c r="F89" s="6"/>
      <c r="G89" s="7">
        <f>IF(C89="","",IFERROR(VLOOKUP(C89,'Périodicités'!$A:$B,2,FALSE),""))</f>
      </c>
      <c r="H89" s="5"/>
      <c r="I89" s="8">
        <f>IF(OR(F89="",NOT(ISNUMBER(IF(H89&lt;&gt;"",H89,IFERROR(VLOOKUP(C89,'Périodicités'!$A:$C,3,FALSE),""))))),"",EDATE(F89,IF(H89&lt;&gt;"",H89,IFERROR(VLOOKUP(C89,'Périodicités'!$A:$C,3,FALSE),""))))</f>
      </c>
      <c r="J89" s="9">
        <f>IF(I89="","",I89-TODAY())</f>
      </c>
      <c r="K89" s="7">
        <f>IF(B89&amp;C89="","",IF(F89="","Date à saisir",IF(I89="","Périodicité à confirmer",IF(J89&lt;0,"En retard",IF(J89&lt;=30,"À planifier","À jour")))))</f>
      </c>
      <c r="L89" s="5"/>
      <c r="M89" s="5"/>
      <c r="N89" s="5"/>
      <c r="O89" s="10"/>
    </row>
    <row r="90" spans="1:15" x14ac:dyDescent="0.25">
      <c r="A90" s="5">
        <v>86</v>
      </c>
      <c r="B90" s="5"/>
      <c r="C90" s="5"/>
      <c r="D90" s="5"/>
      <c r="E90" s="5"/>
      <c r="F90" s="6"/>
      <c r="G90" s="7">
        <f>IF(C90="","",IFERROR(VLOOKUP(C90,'Périodicités'!$A:$B,2,FALSE),""))</f>
      </c>
      <c r="H90" s="5"/>
      <c r="I90" s="8">
        <f>IF(OR(F90="",NOT(ISNUMBER(IF(H90&lt;&gt;"",H90,IFERROR(VLOOKUP(C90,'Périodicités'!$A:$C,3,FALSE),""))))),"",EDATE(F90,IF(H90&lt;&gt;"",H90,IFERROR(VLOOKUP(C90,'Périodicités'!$A:$C,3,FALSE),""))))</f>
      </c>
      <c r="J90" s="9">
        <f>IF(I90="","",I90-TODAY())</f>
      </c>
      <c r="K90" s="7">
        <f>IF(B90&amp;C90="","",IF(F90="","Date à saisir",IF(I90="","Périodicité à confirmer",IF(J90&lt;0,"En retard",IF(J90&lt;=30,"À planifier","À jour")))))</f>
      </c>
      <c r="L90" s="5"/>
      <c r="M90" s="5"/>
      <c r="N90" s="5"/>
      <c r="O90" s="10"/>
    </row>
    <row r="91" spans="1:15" x14ac:dyDescent="0.25">
      <c r="A91" s="5">
        <v>87</v>
      </c>
      <c r="B91" s="5"/>
      <c r="C91" s="5"/>
      <c r="D91" s="5"/>
      <c r="E91" s="5"/>
      <c r="F91" s="6"/>
      <c r="G91" s="7">
        <f>IF(C91="","",IFERROR(VLOOKUP(C91,'Périodicités'!$A:$B,2,FALSE),""))</f>
      </c>
      <c r="H91" s="5"/>
      <c r="I91" s="8">
        <f>IF(OR(F91="",NOT(ISNUMBER(IF(H91&lt;&gt;"",H91,IFERROR(VLOOKUP(C91,'Périodicités'!$A:$C,3,FALSE),""))))),"",EDATE(F91,IF(H91&lt;&gt;"",H91,IFERROR(VLOOKUP(C91,'Périodicités'!$A:$C,3,FALSE),""))))</f>
      </c>
      <c r="J91" s="9">
        <f>IF(I91="","",I91-TODAY())</f>
      </c>
      <c r="K91" s="7">
        <f>IF(B91&amp;C91="","",IF(F91="","Date à saisir",IF(I91="","Périodicité à confirmer",IF(J91&lt;0,"En retard",IF(J91&lt;=30,"À planifier","À jour")))))</f>
      </c>
      <c r="L91" s="5"/>
      <c r="M91" s="5"/>
      <c r="N91" s="5"/>
      <c r="O91" s="10"/>
    </row>
    <row r="92" spans="1:15" x14ac:dyDescent="0.25">
      <c r="A92" s="5">
        <v>88</v>
      </c>
      <c r="B92" s="5"/>
      <c r="C92" s="5"/>
      <c r="D92" s="5"/>
      <c r="E92" s="5"/>
      <c r="F92" s="6"/>
      <c r="G92" s="7">
        <f>IF(C92="","",IFERROR(VLOOKUP(C92,'Périodicités'!$A:$B,2,FALSE),""))</f>
      </c>
      <c r="H92" s="5"/>
      <c r="I92" s="8">
        <f>IF(OR(F92="",NOT(ISNUMBER(IF(H92&lt;&gt;"",H92,IFERROR(VLOOKUP(C92,'Périodicités'!$A:$C,3,FALSE),""))))),"",EDATE(F92,IF(H92&lt;&gt;"",H92,IFERROR(VLOOKUP(C92,'Périodicités'!$A:$C,3,FALSE),""))))</f>
      </c>
      <c r="J92" s="9">
        <f>IF(I92="","",I92-TODAY())</f>
      </c>
      <c r="K92" s="7">
        <f>IF(B92&amp;C92="","",IF(F92="","Date à saisir",IF(I92="","Périodicité à confirmer",IF(J92&lt;0,"En retard",IF(J92&lt;=30,"À planifier","À jour")))))</f>
      </c>
      <c r="L92" s="5"/>
      <c r="M92" s="5"/>
      <c r="N92" s="5"/>
      <c r="O92" s="10"/>
    </row>
    <row r="93" spans="1:15" x14ac:dyDescent="0.25">
      <c r="A93" s="5">
        <v>89</v>
      </c>
      <c r="B93" s="5"/>
      <c r="C93" s="5"/>
      <c r="D93" s="5"/>
      <c r="E93" s="5"/>
      <c r="F93" s="6"/>
      <c r="G93" s="7">
        <f>IF(C93="","",IFERROR(VLOOKUP(C93,'Périodicités'!$A:$B,2,FALSE),""))</f>
      </c>
      <c r="H93" s="5"/>
      <c r="I93" s="8">
        <f>IF(OR(F93="",NOT(ISNUMBER(IF(H93&lt;&gt;"",H93,IFERROR(VLOOKUP(C93,'Périodicités'!$A:$C,3,FALSE),""))))),"",EDATE(F93,IF(H93&lt;&gt;"",H93,IFERROR(VLOOKUP(C93,'Périodicités'!$A:$C,3,FALSE),""))))</f>
      </c>
      <c r="J93" s="9">
        <f>IF(I93="","",I93-TODAY())</f>
      </c>
      <c r="K93" s="7">
        <f>IF(B93&amp;C93="","",IF(F93="","Date à saisir",IF(I93="","Périodicité à confirmer",IF(J93&lt;0,"En retard",IF(J93&lt;=30,"À planifier","À jour")))))</f>
      </c>
      <c r="L93" s="5"/>
      <c r="M93" s="5"/>
      <c r="N93" s="5"/>
      <c r="O93" s="10"/>
    </row>
    <row r="94" spans="1:15" x14ac:dyDescent="0.25">
      <c r="A94" s="5">
        <v>90</v>
      </c>
      <c r="B94" s="5"/>
      <c r="C94" s="5"/>
      <c r="D94" s="5"/>
      <c r="E94" s="5"/>
      <c r="F94" s="6"/>
      <c r="G94" s="7">
        <f>IF(C94="","",IFERROR(VLOOKUP(C94,'Périodicités'!$A:$B,2,FALSE),""))</f>
      </c>
      <c r="H94" s="5"/>
      <c r="I94" s="8">
        <f>IF(OR(F94="",NOT(ISNUMBER(IF(H94&lt;&gt;"",H94,IFERROR(VLOOKUP(C94,'Périodicités'!$A:$C,3,FALSE),""))))),"",EDATE(F94,IF(H94&lt;&gt;"",H94,IFERROR(VLOOKUP(C94,'Périodicités'!$A:$C,3,FALSE),""))))</f>
      </c>
      <c r="J94" s="9">
        <f>IF(I94="","",I94-TODAY())</f>
      </c>
      <c r="K94" s="7">
        <f>IF(B94&amp;C94="","",IF(F94="","Date à saisir",IF(I94="","Périodicité à confirmer",IF(J94&lt;0,"En retard",IF(J94&lt;=30,"À planifier","À jour")))))</f>
      </c>
      <c r="L94" s="5"/>
      <c r="M94" s="5"/>
      <c r="N94" s="5"/>
      <c r="O94" s="10"/>
    </row>
    <row r="95" spans="1:15" x14ac:dyDescent="0.25">
      <c r="A95" s="5">
        <v>91</v>
      </c>
      <c r="B95" s="5"/>
      <c r="C95" s="5"/>
      <c r="D95" s="5"/>
      <c r="E95" s="5"/>
      <c r="F95" s="6"/>
      <c r="G95" s="7">
        <f>IF(C95="","",IFERROR(VLOOKUP(C95,'Périodicités'!$A:$B,2,FALSE),""))</f>
      </c>
      <c r="H95" s="5"/>
      <c r="I95" s="8">
        <f>IF(OR(F95="",NOT(ISNUMBER(IF(H95&lt;&gt;"",H95,IFERROR(VLOOKUP(C95,'Périodicités'!$A:$C,3,FALSE),""))))),"",EDATE(F95,IF(H95&lt;&gt;"",H95,IFERROR(VLOOKUP(C95,'Périodicités'!$A:$C,3,FALSE),""))))</f>
      </c>
      <c r="J95" s="9">
        <f>IF(I95="","",I95-TODAY())</f>
      </c>
      <c r="K95" s="7">
        <f>IF(B95&amp;C95="","",IF(F95="","Date à saisir",IF(I95="","Périodicité à confirmer",IF(J95&lt;0,"En retard",IF(J95&lt;=30,"À planifier","À jour")))))</f>
      </c>
      <c r="L95" s="5"/>
      <c r="M95" s="5"/>
      <c r="N95" s="5"/>
      <c r="O95" s="10"/>
    </row>
    <row r="96" spans="1:15" x14ac:dyDescent="0.25">
      <c r="A96" s="5">
        <v>92</v>
      </c>
      <c r="B96" s="5"/>
      <c r="C96" s="5"/>
      <c r="D96" s="5"/>
      <c r="E96" s="5"/>
      <c r="F96" s="6"/>
      <c r="G96" s="7">
        <f>IF(C96="","",IFERROR(VLOOKUP(C96,'Périodicités'!$A:$B,2,FALSE),""))</f>
      </c>
      <c r="H96" s="5"/>
      <c r="I96" s="8">
        <f>IF(OR(F96="",NOT(ISNUMBER(IF(H96&lt;&gt;"",H96,IFERROR(VLOOKUP(C96,'Périodicités'!$A:$C,3,FALSE),""))))),"",EDATE(F96,IF(H96&lt;&gt;"",H96,IFERROR(VLOOKUP(C96,'Périodicités'!$A:$C,3,FALSE),""))))</f>
      </c>
      <c r="J96" s="9">
        <f>IF(I96="","",I96-TODAY())</f>
      </c>
      <c r="K96" s="7">
        <f>IF(B96&amp;C96="","",IF(F96="","Date à saisir",IF(I96="","Périodicité à confirmer",IF(J96&lt;0,"En retard",IF(J96&lt;=30,"À planifier","À jour")))))</f>
      </c>
      <c r="L96" s="5"/>
      <c r="M96" s="5"/>
      <c r="N96" s="5"/>
      <c r="O96" s="10"/>
    </row>
    <row r="97" spans="1:15" x14ac:dyDescent="0.25">
      <c r="A97" s="5">
        <v>93</v>
      </c>
      <c r="B97" s="5"/>
      <c r="C97" s="5"/>
      <c r="D97" s="5"/>
      <c r="E97" s="5"/>
      <c r="F97" s="6"/>
      <c r="G97" s="7">
        <f>IF(C97="","",IFERROR(VLOOKUP(C97,'Périodicités'!$A:$B,2,FALSE),""))</f>
      </c>
      <c r="H97" s="5"/>
      <c r="I97" s="8">
        <f>IF(OR(F97="",NOT(ISNUMBER(IF(H97&lt;&gt;"",H97,IFERROR(VLOOKUP(C97,'Périodicités'!$A:$C,3,FALSE),""))))),"",EDATE(F97,IF(H97&lt;&gt;"",H97,IFERROR(VLOOKUP(C97,'Périodicités'!$A:$C,3,FALSE),""))))</f>
      </c>
      <c r="J97" s="9">
        <f>IF(I97="","",I97-TODAY())</f>
      </c>
      <c r="K97" s="7">
        <f>IF(B97&amp;C97="","",IF(F97="","Date à saisir",IF(I97="","Périodicité à confirmer",IF(J97&lt;0,"En retard",IF(J97&lt;=30,"À planifier","À jour")))))</f>
      </c>
      <c r="L97" s="5"/>
      <c r="M97" s="5"/>
      <c r="N97" s="5"/>
      <c r="O97" s="10"/>
    </row>
    <row r="98" spans="1:15" x14ac:dyDescent="0.25">
      <c r="A98" s="5">
        <v>94</v>
      </c>
      <c r="B98" s="5"/>
      <c r="C98" s="5"/>
      <c r="D98" s="5"/>
      <c r="E98" s="5"/>
      <c r="F98" s="6"/>
      <c r="G98" s="7">
        <f>IF(C98="","",IFERROR(VLOOKUP(C98,'Périodicités'!$A:$B,2,FALSE),""))</f>
      </c>
      <c r="H98" s="5"/>
      <c r="I98" s="8">
        <f>IF(OR(F98="",NOT(ISNUMBER(IF(H98&lt;&gt;"",H98,IFERROR(VLOOKUP(C98,'Périodicités'!$A:$C,3,FALSE),""))))),"",EDATE(F98,IF(H98&lt;&gt;"",H98,IFERROR(VLOOKUP(C98,'Périodicités'!$A:$C,3,FALSE),""))))</f>
      </c>
      <c r="J98" s="9">
        <f>IF(I98="","",I98-TODAY())</f>
      </c>
      <c r="K98" s="7">
        <f>IF(B98&amp;C98="","",IF(F98="","Date à saisir",IF(I98="","Périodicité à confirmer",IF(J98&lt;0,"En retard",IF(J98&lt;=30,"À planifier","À jour")))))</f>
      </c>
      <c r="L98" s="5"/>
      <c r="M98" s="5"/>
      <c r="N98" s="5"/>
      <c r="O98" s="10"/>
    </row>
    <row r="99" spans="1:15" x14ac:dyDescent="0.25">
      <c r="A99" s="5">
        <v>95</v>
      </c>
      <c r="B99" s="5"/>
      <c r="C99" s="5"/>
      <c r="D99" s="5"/>
      <c r="E99" s="5"/>
      <c r="F99" s="6"/>
      <c r="G99" s="7">
        <f>IF(C99="","",IFERROR(VLOOKUP(C99,'Périodicités'!$A:$B,2,FALSE),""))</f>
      </c>
      <c r="H99" s="5"/>
      <c r="I99" s="8">
        <f>IF(OR(F99="",NOT(ISNUMBER(IF(H99&lt;&gt;"",H99,IFERROR(VLOOKUP(C99,'Périodicités'!$A:$C,3,FALSE),""))))),"",EDATE(F99,IF(H99&lt;&gt;"",H99,IFERROR(VLOOKUP(C99,'Périodicités'!$A:$C,3,FALSE),""))))</f>
      </c>
      <c r="J99" s="9">
        <f>IF(I99="","",I99-TODAY())</f>
      </c>
      <c r="K99" s="7">
        <f>IF(B99&amp;C99="","",IF(F99="","Date à saisir",IF(I99="","Périodicité à confirmer",IF(J99&lt;0,"En retard",IF(J99&lt;=30,"À planifier","À jour")))))</f>
      </c>
      <c r="L99" s="5"/>
      <c r="M99" s="5"/>
      <c r="N99" s="5"/>
      <c r="O99" s="10"/>
    </row>
    <row r="100" spans="1:15" x14ac:dyDescent="0.25">
      <c r="A100" s="5">
        <v>96</v>
      </c>
      <c r="B100" s="5"/>
      <c r="C100" s="5"/>
      <c r="D100" s="5"/>
      <c r="E100" s="5"/>
      <c r="F100" s="6"/>
      <c r="G100" s="7">
        <f>IF(C100="","",IFERROR(VLOOKUP(C100,'Périodicités'!$A:$B,2,FALSE),""))</f>
      </c>
      <c r="H100" s="5"/>
      <c r="I100" s="8">
        <f>IF(OR(F100="",NOT(ISNUMBER(IF(H100&lt;&gt;"",H100,IFERROR(VLOOKUP(C100,'Périodicités'!$A:$C,3,FALSE),""))))),"",EDATE(F100,IF(H100&lt;&gt;"",H100,IFERROR(VLOOKUP(C100,'Périodicités'!$A:$C,3,FALSE),""))))</f>
      </c>
      <c r="J100" s="9">
        <f>IF(I100="","",I100-TODAY())</f>
      </c>
      <c r="K100" s="7">
        <f>IF(B100&amp;C100="","",IF(F100="","Date à saisir",IF(I100="","Périodicité à confirmer",IF(J100&lt;0,"En retard",IF(J100&lt;=30,"À planifier","À jour")))))</f>
      </c>
      <c r="L100" s="5"/>
      <c r="M100" s="5"/>
      <c r="N100" s="5"/>
      <c r="O100" s="10"/>
    </row>
    <row r="101" spans="1:15" x14ac:dyDescent="0.25">
      <c r="A101" s="5">
        <v>97</v>
      </c>
      <c r="B101" s="5"/>
      <c r="C101" s="5"/>
      <c r="D101" s="5"/>
      <c r="E101" s="5"/>
      <c r="F101" s="6"/>
      <c r="G101" s="7">
        <f>IF(C101="","",IFERROR(VLOOKUP(C101,'Périodicités'!$A:$B,2,FALSE),""))</f>
      </c>
      <c r="H101" s="5"/>
      <c r="I101" s="8">
        <f>IF(OR(F101="",NOT(ISNUMBER(IF(H101&lt;&gt;"",H101,IFERROR(VLOOKUP(C101,'Périodicités'!$A:$C,3,FALSE),""))))),"",EDATE(F101,IF(H101&lt;&gt;"",H101,IFERROR(VLOOKUP(C101,'Périodicités'!$A:$C,3,FALSE),""))))</f>
      </c>
      <c r="J101" s="9">
        <f>IF(I101="","",I101-TODAY())</f>
      </c>
      <c r="K101" s="7">
        <f>IF(B101&amp;C101="","",IF(F101="","Date à saisir",IF(I101="","Périodicité à confirmer",IF(J101&lt;0,"En retard",IF(J101&lt;=30,"À planifier","À jour")))))</f>
      </c>
      <c r="L101" s="5"/>
      <c r="M101" s="5"/>
      <c r="N101" s="5"/>
      <c r="O101" s="10"/>
    </row>
    <row r="102" spans="1:15" x14ac:dyDescent="0.25">
      <c r="A102" s="5">
        <v>98</v>
      </c>
      <c r="B102" s="5"/>
      <c r="C102" s="5"/>
      <c r="D102" s="5"/>
      <c r="E102" s="5"/>
      <c r="F102" s="6"/>
      <c r="G102" s="7">
        <f>IF(C102="","",IFERROR(VLOOKUP(C102,'Périodicités'!$A:$B,2,FALSE),""))</f>
      </c>
      <c r="H102" s="5"/>
      <c r="I102" s="8">
        <f>IF(OR(F102="",NOT(ISNUMBER(IF(H102&lt;&gt;"",H102,IFERROR(VLOOKUP(C102,'Périodicités'!$A:$C,3,FALSE),""))))),"",EDATE(F102,IF(H102&lt;&gt;"",H102,IFERROR(VLOOKUP(C102,'Périodicités'!$A:$C,3,FALSE),""))))</f>
      </c>
      <c r="J102" s="9">
        <f>IF(I102="","",I102-TODAY())</f>
      </c>
      <c r="K102" s="7">
        <f>IF(B102&amp;C102="","",IF(F102="","Date à saisir",IF(I102="","Périodicité à confirmer",IF(J102&lt;0,"En retard",IF(J102&lt;=30,"À planifier","À jour")))))</f>
      </c>
      <c r="L102" s="5"/>
      <c r="M102" s="5"/>
      <c r="N102" s="5"/>
      <c r="O102" s="10"/>
    </row>
    <row r="103" spans="1:15" x14ac:dyDescent="0.25">
      <c r="A103" s="5">
        <v>99</v>
      </c>
      <c r="B103" s="5"/>
      <c r="C103" s="5"/>
      <c r="D103" s="5"/>
      <c r="E103" s="5"/>
      <c r="F103" s="6"/>
      <c r="G103" s="7">
        <f>IF(C103="","",IFERROR(VLOOKUP(C103,'Périodicités'!$A:$B,2,FALSE),""))</f>
      </c>
      <c r="H103" s="5"/>
      <c r="I103" s="8">
        <f>IF(OR(F103="",NOT(ISNUMBER(IF(H103&lt;&gt;"",H103,IFERROR(VLOOKUP(C103,'Périodicités'!$A:$C,3,FALSE),""))))),"",EDATE(F103,IF(H103&lt;&gt;"",H103,IFERROR(VLOOKUP(C103,'Périodicités'!$A:$C,3,FALSE),""))))</f>
      </c>
      <c r="J103" s="9">
        <f>IF(I103="","",I103-TODAY())</f>
      </c>
      <c r="K103" s="7">
        <f>IF(B103&amp;C103="","",IF(F103="","Date à saisir",IF(I103="","Périodicité à confirmer",IF(J103&lt;0,"En retard",IF(J103&lt;=30,"À planifier","À jour")))))</f>
      </c>
      <c r="L103" s="5"/>
      <c r="M103" s="5"/>
      <c r="N103" s="5"/>
      <c r="O103" s="10"/>
    </row>
    <row r="104" spans="1:15" x14ac:dyDescent="0.25">
      <c r="A104" s="5">
        <v>100</v>
      </c>
      <c r="B104" s="5"/>
      <c r="C104" s="5"/>
      <c r="D104" s="5"/>
      <c r="E104" s="5"/>
      <c r="F104" s="6"/>
      <c r="G104" s="7">
        <f>IF(C104="","",IFERROR(VLOOKUP(C104,'Périodicités'!$A:$B,2,FALSE),""))</f>
      </c>
      <c r="H104" s="5"/>
      <c r="I104" s="8">
        <f>IF(OR(F104="",NOT(ISNUMBER(IF(H104&lt;&gt;"",H104,IFERROR(VLOOKUP(C104,'Périodicités'!$A:$C,3,FALSE),""))))),"",EDATE(F104,IF(H104&lt;&gt;"",H104,IFERROR(VLOOKUP(C104,'Périodicités'!$A:$C,3,FALSE),""))))</f>
      </c>
      <c r="J104" s="9">
        <f>IF(I104="","",I104-TODAY())</f>
      </c>
      <c r="K104" s="7">
        <f>IF(B104&amp;C104="","",IF(F104="","Date à saisir",IF(I104="","Périodicité à confirmer",IF(J104&lt;0,"En retard",IF(J104&lt;=30,"À planifier","À jour")))))</f>
      </c>
      <c r="L104" s="5"/>
      <c r="M104" s="5"/>
      <c r="N104" s="5"/>
      <c r="O104" s="10"/>
    </row>
    <row r="105" spans="1:15" x14ac:dyDescent="0.25">
      <c r="A105" s="5">
        <v>101</v>
      </c>
      <c r="B105" s="5"/>
      <c r="C105" s="5"/>
      <c r="D105" s="5"/>
      <c r="E105" s="5"/>
      <c r="F105" s="6"/>
      <c r="G105" s="7">
        <f>IF(C105="","",IFERROR(VLOOKUP(C105,'Périodicités'!$A:$B,2,FALSE),""))</f>
      </c>
      <c r="H105" s="5"/>
      <c r="I105" s="8">
        <f>IF(OR(F105="",NOT(ISNUMBER(IF(H105&lt;&gt;"",H105,IFERROR(VLOOKUP(C105,'Périodicités'!$A:$C,3,FALSE),""))))),"",EDATE(F105,IF(H105&lt;&gt;"",H105,IFERROR(VLOOKUP(C105,'Périodicités'!$A:$C,3,FALSE),""))))</f>
      </c>
      <c r="J105" s="9">
        <f>IF(I105="","",I105-TODAY())</f>
      </c>
      <c r="K105" s="7">
        <f>IF(B105&amp;C105="","",IF(F105="","Date à saisir",IF(I105="","Périodicité à confirmer",IF(J105&lt;0,"En retard",IF(J105&lt;=30,"À planifier","À jour")))))</f>
      </c>
      <c r="L105" s="5"/>
      <c r="M105" s="5"/>
      <c r="N105" s="5"/>
      <c r="O105" s="10"/>
    </row>
    <row r="106" spans="1:15" x14ac:dyDescent="0.25">
      <c r="A106" s="5">
        <v>102</v>
      </c>
      <c r="B106" s="5"/>
      <c r="C106" s="5"/>
      <c r="D106" s="5"/>
      <c r="E106" s="5"/>
      <c r="F106" s="6"/>
      <c r="G106" s="7">
        <f>IF(C106="","",IFERROR(VLOOKUP(C106,'Périodicités'!$A:$B,2,FALSE),""))</f>
      </c>
      <c r="H106" s="5"/>
      <c r="I106" s="8">
        <f>IF(OR(F106="",NOT(ISNUMBER(IF(H106&lt;&gt;"",H106,IFERROR(VLOOKUP(C106,'Périodicités'!$A:$C,3,FALSE),""))))),"",EDATE(F106,IF(H106&lt;&gt;"",H106,IFERROR(VLOOKUP(C106,'Périodicités'!$A:$C,3,FALSE),""))))</f>
      </c>
      <c r="J106" s="9">
        <f>IF(I106="","",I106-TODAY())</f>
      </c>
      <c r="K106" s="7">
        <f>IF(B106&amp;C106="","",IF(F106="","Date à saisir",IF(I106="","Périodicité à confirmer",IF(J106&lt;0,"En retard",IF(J106&lt;=30,"À planifier","À jour")))))</f>
      </c>
      <c r="L106" s="5"/>
      <c r="M106" s="5"/>
      <c r="N106" s="5"/>
      <c r="O106" s="10"/>
    </row>
    <row r="107" spans="1:15" x14ac:dyDescent="0.25">
      <c r="A107" s="5">
        <v>103</v>
      </c>
      <c r="B107" s="5"/>
      <c r="C107" s="5"/>
      <c r="D107" s="5"/>
      <c r="E107" s="5"/>
      <c r="F107" s="6"/>
      <c r="G107" s="7">
        <f>IF(C107="","",IFERROR(VLOOKUP(C107,'Périodicités'!$A:$B,2,FALSE),""))</f>
      </c>
      <c r="H107" s="5"/>
      <c r="I107" s="8">
        <f>IF(OR(F107="",NOT(ISNUMBER(IF(H107&lt;&gt;"",H107,IFERROR(VLOOKUP(C107,'Périodicités'!$A:$C,3,FALSE),""))))),"",EDATE(F107,IF(H107&lt;&gt;"",H107,IFERROR(VLOOKUP(C107,'Périodicités'!$A:$C,3,FALSE),""))))</f>
      </c>
      <c r="J107" s="9">
        <f>IF(I107="","",I107-TODAY())</f>
      </c>
      <c r="K107" s="7">
        <f>IF(B107&amp;C107="","",IF(F107="","Date à saisir",IF(I107="","Périodicité à confirmer",IF(J107&lt;0,"En retard",IF(J107&lt;=30,"À planifier","À jour")))))</f>
      </c>
      <c r="L107" s="5"/>
      <c r="M107" s="5"/>
      <c r="N107" s="5"/>
      <c r="O107" s="10"/>
    </row>
    <row r="108" spans="1:15" x14ac:dyDescent="0.25">
      <c r="A108" s="5">
        <v>104</v>
      </c>
      <c r="B108" s="5"/>
      <c r="C108" s="5"/>
      <c r="D108" s="5"/>
      <c r="E108" s="5"/>
      <c r="F108" s="6"/>
      <c r="G108" s="7">
        <f>IF(C108="","",IFERROR(VLOOKUP(C108,'Périodicités'!$A:$B,2,FALSE),""))</f>
      </c>
      <c r="H108" s="5"/>
      <c r="I108" s="8">
        <f>IF(OR(F108="",NOT(ISNUMBER(IF(H108&lt;&gt;"",H108,IFERROR(VLOOKUP(C108,'Périodicités'!$A:$C,3,FALSE),""))))),"",EDATE(F108,IF(H108&lt;&gt;"",H108,IFERROR(VLOOKUP(C108,'Périodicités'!$A:$C,3,FALSE),""))))</f>
      </c>
      <c r="J108" s="9">
        <f>IF(I108="","",I108-TODAY())</f>
      </c>
      <c r="K108" s="7">
        <f>IF(B108&amp;C108="","",IF(F108="","Date à saisir",IF(I108="","Périodicité à confirmer",IF(J108&lt;0,"En retard",IF(J108&lt;=30,"À planifier","À jour")))))</f>
      </c>
      <c r="L108" s="5"/>
      <c r="M108" s="5"/>
      <c r="N108" s="5"/>
      <c r="O108" s="10"/>
    </row>
    <row r="109" spans="1:15" x14ac:dyDescent="0.25">
      <c r="A109" s="5">
        <v>105</v>
      </c>
      <c r="B109" s="5"/>
      <c r="C109" s="5"/>
      <c r="D109" s="5"/>
      <c r="E109" s="5"/>
      <c r="F109" s="6"/>
      <c r="G109" s="7">
        <f>IF(C109="","",IFERROR(VLOOKUP(C109,'Périodicités'!$A:$B,2,FALSE),""))</f>
      </c>
      <c r="H109" s="5"/>
      <c r="I109" s="8">
        <f>IF(OR(F109="",NOT(ISNUMBER(IF(H109&lt;&gt;"",H109,IFERROR(VLOOKUP(C109,'Périodicités'!$A:$C,3,FALSE),""))))),"",EDATE(F109,IF(H109&lt;&gt;"",H109,IFERROR(VLOOKUP(C109,'Périodicités'!$A:$C,3,FALSE),""))))</f>
      </c>
      <c r="J109" s="9">
        <f>IF(I109="","",I109-TODAY())</f>
      </c>
      <c r="K109" s="7">
        <f>IF(B109&amp;C109="","",IF(F109="","Date à saisir",IF(I109="","Périodicité à confirmer",IF(J109&lt;0,"En retard",IF(J109&lt;=30,"À planifier","À jour")))))</f>
      </c>
      <c r="L109" s="5"/>
      <c r="M109" s="5"/>
      <c r="N109" s="5"/>
      <c r="O109" s="10"/>
    </row>
    <row r="110" spans="1:15" x14ac:dyDescent="0.25">
      <c r="A110" s="5">
        <v>106</v>
      </c>
      <c r="B110" s="5"/>
      <c r="C110" s="5"/>
      <c r="D110" s="5"/>
      <c r="E110" s="5"/>
      <c r="F110" s="6"/>
      <c r="G110" s="7">
        <f>IF(C110="","",IFERROR(VLOOKUP(C110,'Périodicités'!$A:$B,2,FALSE),""))</f>
      </c>
      <c r="H110" s="5"/>
      <c r="I110" s="8">
        <f>IF(OR(F110="",NOT(ISNUMBER(IF(H110&lt;&gt;"",H110,IFERROR(VLOOKUP(C110,'Périodicités'!$A:$C,3,FALSE),""))))),"",EDATE(F110,IF(H110&lt;&gt;"",H110,IFERROR(VLOOKUP(C110,'Périodicités'!$A:$C,3,FALSE),""))))</f>
      </c>
      <c r="J110" s="9">
        <f>IF(I110="","",I110-TODAY())</f>
      </c>
      <c r="K110" s="7">
        <f>IF(B110&amp;C110="","",IF(F110="","Date à saisir",IF(I110="","Périodicité à confirmer",IF(J110&lt;0,"En retard",IF(J110&lt;=30,"À planifier","À jour")))))</f>
      </c>
      <c r="L110" s="5"/>
      <c r="M110" s="5"/>
      <c r="N110" s="5"/>
      <c r="O110" s="10"/>
    </row>
    <row r="111" spans="1:15" x14ac:dyDescent="0.25">
      <c r="A111" s="5">
        <v>107</v>
      </c>
      <c r="B111" s="5"/>
      <c r="C111" s="5"/>
      <c r="D111" s="5"/>
      <c r="E111" s="5"/>
      <c r="F111" s="6"/>
      <c r="G111" s="7">
        <f>IF(C111="","",IFERROR(VLOOKUP(C111,'Périodicités'!$A:$B,2,FALSE),""))</f>
      </c>
      <c r="H111" s="5"/>
      <c r="I111" s="8">
        <f>IF(OR(F111="",NOT(ISNUMBER(IF(H111&lt;&gt;"",H111,IFERROR(VLOOKUP(C111,'Périodicités'!$A:$C,3,FALSE),""))))),"",EDATE(F111,IF(H111&lt;&gt;"",H111,IFERROR(VLOOKUP(C111,'Périodicités'!$A:$C,3,FALSE),""))))</f>
      </c>
      <c r="J111" s="9">
        <f>IF(I111="","",I111-TODAY())</f>
      </c>
      <c r="K111" s="7">
        <f>IF(B111&amp;C111="","",IF(F111="","Date à saisir",IF(I111="","Périodicité à confirmer",IF(J111&lt;0,"En retard",IF(J111&lt;=30,"À planifier","À jour")))))</f>
      </c>
      <c r="L111" s="5"/>
      <c r="M111" s="5"/>
      <c r="N111" s="5"/>
      <c r="O111" s="10"/>
    </row>
    <row r="112" spans="1:15" x14ac:dyDescent="0.25">
      <c r="A112" s="5">
        <v>108</v>
      </c>
      <c r="B112" s="5"/>
      <c r="C112" s="5"/>
      <c r="D112" s="5"/>
      <c r="E112" s="5"/>
      <c r="F112" s="6"/>
      <c r="G112" s="7">
        <f>IF(C112="","",IFERROR(VLOOKUP(C112,'Périodicités'!$A:$B,2,FALSE),""))</f>
      </c>
      <c r="H112" s="5"/>
      <c r="I112" s="8">
        <f>IF(OR(F112="",NOT(ISNUMBER(IF(H112&lt;&gt;"",H112,IFERROR(VLOOKUP(C112,'Périodicités'!$A:$C,3,FALSE),""))))),"",EDATE(F112,IF(H112&lt;&gt;"",H112,IFERROR(VLOOKUP(C112,'Périodicités'!$A:$C,3,FALSE),""))))</f>
      </c>
      <c r="J112" s="9">
        <f>IF(I112="","",I112-TODAY())</f>
      </c>
      <c r="K112" s="7">
        <f>IF(B112&amp;C112="","",IF(F112="","Date à saisir",IF(I112="","Périodicité à confirmer",IF(J112&lt;0,"En retard",IF(J112&lt;=30,"À planifier","À jour")))))</f>
      </c>
      <c r="L112" s="5"/>
      <c r="M112" s="5"/>
      <c r="N112" s="5"/>
      <c r="O112" s="10"/>
    </row>
    <row r="113" spans="1:15" x14ac:dyDescent="0.25">
      <c r="A113" s="5">
        <v>109</v>
      </c>
      <c r="B113" s="5"/>
      <c r="C113" s="5"/>
      <c r="D113" s="5"/>
      <c r="E113" s="5"/>
      <c r="F113" s="6"/>
      <c r="G113" s="7">
        <f>IF(C113="","",IFERROR(VLOOKUP(C113,'Périodicités'!$A:$B,2,FALSE),""))</f>
      </c>
      <c r="H113" s="5"/>
      <c r="I113" s="8">
        <f>IF(OR(F113="",NOT(ISNUMBER(IF(H113&lt;&gt;"",H113,IFERROR(VLOOKUP(C113,'Périodicités'!$A:$C,3,FALSE),""))))),"",EDATE(F113,IF(H113&lt;&gt;"",H113,IFERROR(VLOOKUP(C113,'Périodicités'!$A:$C,3,FALSE),""))))</f>
      </c>
      <c r="J113" s="9">
        <f>IF(I113="","",I113-TODAY())</f>
      </c>
      <c r="K113" s="7">
        <f>IF(B113&amp;C113="","",IF(F113="","Date à saisir",IF(I113="","Périodicité à confirmer",IF(J113&lt;0,"En retard",IF(J113&lt;=30,"À planifier","À jour")))))</f>
      </c>
      <c r="L113" s="5"/>
      <c r="M113" s="5"/>
      <c r="N113" s="5"/>
      <c r="O113" s="10"/>
    </row>
    <row r="114" spans="1:15" x14ac:dyDescent="0.25">
      <c r="A114" s="5">
        <v>110</v>
      </c>
      <c r="B114" s="5"/>
      <c r="C114" s="5"/>
      <c r="D114" s="5"/>
      <c r="E114" s="5"/>
      <c r="F114" s="6"/>
      <c r="G114" s="7">
        <f>IF(C114="","",IFERROR(VLOOKUP(C114,'Périodicités'!$A:$B,2,FALSE),""))</f>
      </c>
      <c r="H114" s="5"/>
      <c r="I114" s="8">
        <f>IF(OR(F114="",NOT(ISNUMBER(IF(H114&lt;&gt;"",H114,IFERROR(VLOOKUP(C114,'Périodicités'!$A:$C,3,FALSE),""))))),"",EDATE(F114,IF(H114&lt;&gt;"",H114,IFERROR(VLOOKUP(C114,'Périodicités'!$A:$C,3,FALSE),""))))</f>
      </c>
      <c r="J114" s="9">
        <f>IF(I114="","",I114-TODAY())</f>
      </c>
      <c r="K114" s="7">
        <f>IF(B114&amp;C114="","",IF(F114="","Date à saisir",IF(I114="","Périodicité à confirmer",IF(J114&lt;0,"En retard",IF(J114&lt;=30,"À planifier","À jour")))))</f>
      </c>
      <c r="L114" s="5"/>
      <c r="M114" s="5"/>
      <c r="N114" s="5"/>
      <c r="O114" s="10"/>
    </row>
    <row r="115" spans="1:15" x14ac:dyDescent="0.25">
      <c r="A115" s="5">
        <v>111</v>
      </c>
      <c r="B115" s="5"/>
      <c r="C115" s="5"/>
      <c r="D115" s="5"/>
      <c r="E115" s="5"/>
      <c r="F115" s="6"/>
      <c r="G115" s="7">
        <f>IF(C115="","",IFERROR(VLOOKUP(C115,'Périodicités'!$A:$B,2,FALSE),""))</f>
      </c>
      <c r="H115" s="5"/>
      <c r="I115" s="8">
        <f>IF(OR(F115="",NOT(ISNUMBER(IF(H115&lt;&gt;"",H115,IFERROR(VLOOKUP(C115,'Périodicités'!$A:$C,3,FALSE),""))))),"",EDATE(F115,IF(H115&lt;&gt;"",H115,IFERROR(VLOOKUP(C115,'Périodicités'!$A:$C,3,FALSE),""))))</f>
      </c>
      <c r="J115" s="9">
        <f>IF(I115="","",I115-TODAY())</f>
      </c>
      <c r="K115" s="7">
        <f>IF(B115&amp;C115="","",IF(F115="","Date à saisir",IF(I115="","Périodicité à confirmer",IF(J115&lt;0,"En retard",IF(J115&lt;=30,"À planifier","À jour")))))</f>
      </c>
      <c r="L115" s="5"/>
      <c r="M115" s="5"/>
      <c r="N115" s="5"/>
      <c r="O115" s="10"/>
    </row>
    <row r="116" spans="1:15" x14ac:dyDescent="0.25">
      <c r="A116" s="5">
        <v>112</v>
      </c>
      <c r="B116" s="5"/>
      <c r="C116" s="5"/>
      <c r="D116" s="5"/>
      <c r="E116" s="5"/>
      <c r="F116" s="6"/>
      <c r="G116" s="7">
        <f>IF(C116="","",IFERROR(VLOOKUP(C116,'Périodicités'!$A:$B,2,FALSE),""))</f>
      </c>
      <c r="H116" s="5"/>
      <c r="I116" s="8">
        <f>IF(OR(F116="",NOT(ISNUMBER(IF(H116&lt;&gt;"",H116,IFERROR(VLOOKUP(C116,'Périodicités'!$A:$C,3,FALSE),""))))),"",EDATE(F116,IF(H116&lt;&gt;"",H116,IFERROR(VLOOKUP(C116,'Périodicités'!$A:$C,3,FALSE),""))))</f>
      </c>
      <c r="J116" s="9">
        <f>IF(I116="","",I116-TODAY())</f>
      </c>
      <c r="K116" s="7">
        <f>IF(B116&amp;C116="","",IF(F116="","Date à saisir",IF(I116="","Périodicité à confirmer",IF(J116&lt;0,"En retard",IF(J116&lt;=30,"À planifier","À jour")))))</f>
      </c>
      <c r="L116" s="5"/>
      <c r="M116" s="5"/>
      <c r="N116" s="5"/>
      <c r="O116" s="10"/>
    </row>
    <row r="117" spans="1:15" x14ac:dyDescent="0.25">
      <c r="A117" s="5">
        <v>113</v>
      </c>
      <c r="B117" s="5"/>
      <c r="C117" s="5"/>
      <c r="D117" s="5"/>
      <c r="E117" s="5"/>
      <c r="F117" s="6"/>
      <c r="G117" s="7">
        <f>IF(C117="","",IFERROR(VLOOKUP(C117,'Périodicités'!$A:$B,2,FALSE),""))</f>
      </c>
      <c r="H117" s="5"/>
      <c r="I117" s="8">
        <f>IF(OR(F117="",NOT(ISNUMBER(IF(H117&lt;&gt;"",H117,IFERROR(VLOOKUP(C117,'Périodicités'!$A:$C,3,FALSE),""))))),"",EDATE(F117,IF(H117&lt;&gt;"",H117,IFERROR(VLOOKUP(C117,'Périodicités'!$A:$C,3,FALSE),""))))</f>
      </c>
      <c r="J117" s="9">
        <f>IF(I117="","",I117-TODAY())</f>
      </c>
      <c r="K117" s="7">
        <f>IF(B117&amp;C117="","",IF(F117="","Date à saisir",IF(I117="","Périodicité à confirmer",IF(J117&lt;0,"En retard",IF(J117&lt;=30,"À planifier","À jour")))))</f>
      </c>
      <c r="L117" s="5"/>
      <c r="M117" s="5"/>
      <c r="N117" s="5"/>
      <c r="O117" s="10"/>
    </row>
    <row r="118" spans="1:15" x14ac:dyDescent="0.25">
      <c r="A118" s="5">
        <v>114</v>
      </c>
      <c r="B118" s="5"/>
      <c r="C118" s="5"/>
      <c r="D118" s="5"/>
      <c r="E118" s="5"/>
      <c r="F118" s="6"/>
      <c r="G118" s="7">
        <f>IF(C118="","",IFERROR(VLOOKUP(C118,'Périodicités'!$A:$B,2,FALSE),""))</f>
      </c>
      <c r="H118" s="5"/>
      <c r="I118" s="8">
        <f>IF(OR(F118="",NOT(ISNUMBER(IF(H118&lt;&gt;"",H118,IFERROR(VLOOKUP(C118,'Périodicités'!$A:$C,3,FALSE),""))))),"",EDATE(F118,IF(H118&lt;&gt;"",H118,IFERROR(VLOOKUP(C118,'Périodicités'!$A:$C,3,FALSE),""))))</f>
      </c>
      <c r="J118" s="9">
        <f>IF(I118="","",I118-TODAY())</f>
      </c>
      <c r="K118" s="7">
        <f>IF(B118&amp;C118="","",IF(F118="","Date à saisir",IF(I118="","Périodicité à confirmer",IF(J118&lt;0,"En retard",IF(J118&lt;=30,"À planifier","À jour")))))</f>
      </c>
      <c r="L118" s="5"/>
      <c r="M118" s="5"/>
      <c r="N118" s="5"/>
      <c r="O118" s="10"/>
    </row>
    <row r="119" spans="1:15" x14ac:dyDescent="0.25">
      <c r="A119" s="5">
        <v>115</v>
      </c>
      <c r="B119" s="5"/>
      <c r="C119" s="5"/>
      <c r="D119" s="5"/>
      <c r="E119" s="5"/>
      <c r="F119" s="6"/>
      <c r="G119" s="7">
        <f>IF(C119="","",IFERROR(VLOOKUP(C119,'Périodicités'!$A:$B,2,FALSE),""))</f>
      </c>
      <c r="H119" s="5"/>
      <c r="I119" s="8">
        <f>IF(OR(F119="",NOT(ISNUMBER(IF(H119&lt;&gt;"",H119,IFERROR(VLOOKUP(C119,'Périodicités'!$A:$C,3,FALSE),""))))),"",EDATE(F119,IF(H119&lt;&gt;"",H119,IFERROR(VLOOKUP(C119,'Périodicités'!$A:$C,3,FALSE),""))))</f>
      </c>
      <c r="J119" s="9">
        <f>IF(I119="","",I119-TODAY())</f>
      </c>
      <c r="K119" s="7">
        <f>IF(B119&amp;C119="","",IF(F119="","Date à saisir",IF(I119="","Périodicité à confirmer",IF(J119&lt;0,"En retard",IF(J119&lt;=30,"À planifier","À jour")))))</f>
      </c>
      <c r="L119" s="5"/>
      <c r="M119" s="5"/>
      <c r="N119" s="5"/>
      <c r="O119" s="10"/>
    </row>
    <row r="120" spans="1:15" x14ac:dyDescent="0.25">
      <c r="A120" s="5">
        <v>116</v>
      </c>
      <c r="B120" s="5"/>
      <c r="C120" s="5"/>
      <c r="D120" s="5"/>
      <c r="E120" s="5"/>
      <c r="F120" s="6"/>
      <c r="G120" s="7">
        <f>IF(C120="","",IFERROR(VLOOKUP(C120,'Périodicités'!$A:$B,2,FALSE),""))</f>
      </c>
      <c r="H120" s="5"/>
      <c r="I120" s="8">
        <f>IF(OR(F120="",NOT(ISNUMBER(IF(H120&lt;&gt;"",H120,IFERROR(VLOOKUP(C120,'Périodicités'!$A:$C,3,FALSE),""))))),"",EDATE(F120,IF(H120&lt;&gt;"",H120,IFERROR(VLOOKUP(C120,'Périodicités'!$A:$C,3,FALSE),""))))</f>
      </c>
      <c r="J120" s="9">
        <f>IF(I120="","",I120-TODAY())</f>
      </c>
      <c r="K120" s="7">
        <f>IF(B120&amp;C120="","",IF(F120="","Date à saisir",IF(I120="","Périodicité à confirmer",IF(J120&lt;0,"En retard",IF(J120&lt;=30,"À planifier","À jour")))))</f>
      </c>
      <c r="L120" s="5"/>
      <c r="M120" s="5"/>
      <c r="N120" s="5"/>
      <c r="O120" s="10"/>
    </row>
    <row r="121" spans="1:15" x14ac:dyDescent="0.25">
      <c r="A121" s="5">
        <v>117</v>
      </c>
      <c r="B121" s="5"/>
      <c r="C121" s="5"/>
      <c r="D121" s="5"/>
      <c r="E121" s="5"/>
      <c r="F121" s="6"/>
      <c r="G121" s="7">
        <f>IF(C121="","",IFERROR(VLOOKUP(C121,'Périodicités'!$A:$B,2,FALSE),""))</f>
      </c>
      <c r="H121" s="5"/>
      <c r="I121" s="8">
        <f>IF(OR(F121="",NOT(ISNUMBER(IF(H121&lt;&gt;"",H121,IFERROR(VLOOKUP(C121,'Périodicités'!$A:$C,3,FALSE),""))))),"",EDATE(F121,IF(H121&lt;&gt;"",H121,IFERROR(VLOOKUP(C121,'Périodicités'!$A:$C,3,FALSE),""))))</f>
      </c>
      <c r="J121" s="9">
        <f>IF(I121="","",I121-TODAY())</f>
      </c>
      <c r="K121" s="7">
        <f>IF(B121&amp;C121="","",IF(F121="","Date à saisir",IF(I121="","Périodicité à confirmer",IF(J121&lt;0,"En retard",IF(J121&lt;=30,"À planifier","À jour")))))</f>
      </c>
      <c r="L121" s="5"/>
      <c r="M121" s="5"/>
      <c r="N121" s="5"/>
      <c r="O121" s="10"/>
    </row>
    <row r="122" spans="1:15" x14ac:dyDescent="0.25">
      <c r="A122" s="5">
        <v>118</v>
      </c>
      <c r="B122" s="5"/>
      <c r="C122" s="5"/>
      <c r="D122" s="5"/>
      <c r="E122" s="5"/>
      <c r="F122" s="6"/>
      <c r="G122" s="7">
        <f>IF(C122="","",IFERROR(VLOOKUP(C122,'Périodicités'!$A:$B,2,FALSE),""))</f>
      </c>
      <c r="H122" s="5"/>
      <c r="I122" s="8">
        <f>IF(OR(F122="",NOT(ISNUMBER(IF(H122&lt;&gt;"",H122,IFERROR(VLOOKUP(C122,'Périodicités'!$A:$C,3,FALSE),""))))),"",EDATE(F122,IF(H122&lt;&gt;"",H122,IFERROR(VLOOKUP(C122,'Périodicités'!$A:$C,3,FALSE),""))))</f>
      </c>
      <c r="J122" s="9">
        <f>IF(I122="","",I122-TODAY())</f>
      </c>
      <c r="K122" s="7">
        <f>IF(B122&amp;C122="","",IF(F122="","Date à saisir",IF(I122="","Périodicité à confirmer",IF(J122&lt;0,"En retard",IF(J122&lt;=30,"À planifier","À jour")))))</f>
      </c>
      <c r="L122" s="5"/>
      <c r="M122" s="5"/>
      <c r="N122" s="5"/>
      <c r="O122" s="10"/>
    </row>
    <row r="123" spans="1:15" x14ac:dyDescent="0.25">
      <c r="A123" s="5">
        <v>119</v>
      </c>
      <c r="B123" s="5"/>
      <c r="C123" s="5"/>
      <c r="D123" s="5"/>
      <c r="E123" s="5"/>
      <c r="F123" s="6"/>
      <c r="G123" s="7">
        <f>IF(C123="","",IFERROR(VLOOKUP(C123,'Périodicités'!$A:$B,2,FALSE),""))</f>
      </c>
      <c r="H123" s="5"/>
      <c r="I123" s="8">
        <f>IF(OR(F123="",NOT(ISNUMBER(IF(H123&lt;&gt;"",H123,IFERROR(VLOOKUP(C123,'Périodicités'!$A:$C,3,FALSE),""))))),"",EDATE(F123,IF(H123&lt;&gt;"",H123,IFERROR(VLOOKUP(C123,'Périodicités'!$A:$C,3,FALSE),""))))</f>
      </c>
      <c r="J123" s="9">
        <f>IF(I123="","",I123-TODAY())</f>
      </c>
      <c r="K123" s="7">
        <f>IF(B123&amp;C123="","",IF(F123="","Date à saisir",IF(I123="","Périodicité à confirmer",IF(J123&lt;0,"En retard",IF(J123&lt;=30,"À planifier","À jour")))))</f>
      </c>
      <c r="L123" s="5"/>
      <c r="M123" s="5"/>
      <c r="N123" s="5"/>
      <c r="O123" s="10"/>
    </row>
    <row r="124" spans="1:15" x14ac:dyDescent="0.25">
      <c r="A124" s="5">
        <v>120</v>
      </c>
      <c r="B124" s="5"/>
      <c r="C124" s="5"/>
      <c r="D124" s="5"/>
      <c r="E124" s="5"/>
      <c r="F124" s="6"/>
      <c r="G124" s="7">
        <f>IF(C124="","",IFERROR(VLOOKUP(C124,'Périodicités'!$A:$B,2,FALSE),""))</f>
      </c>
      <c r="H124" s="5"/>
      <c r="I124" s="8">
        <f>IF(OR(F124="",NOT(ISNUMBER(IF(H124&lt;&gt;"",H124,IFERROR(VLOOKUP(C124,'Périodicités'!$A:$C,3,FALSE),""))))),"",EDATE(F124,IF(H124&lt;&gt;"",H124,IFERROR(VLOOKUP(C124,'Périodicités'!$A:$C,3,FALSE),""))))</f>
      </c>
      <c r="J124" s="9">
        <f>IF(I124="","",I124-TODAY())</f>
      </c>
      <c r="K124" s="7">
        <f>IF(B124&amp;C124="","",IF(F124="","Date à saisir",IF(I124="","Périodicité à confirmer",IF(J124&lt;0,"En retard",IF(J124&lt;=30,"À planifier","À jour")))))</f>
      </c>
      <c r="L124" s="5"/>
      <c r="M124" s="5"/>
      <c r="N124" s="5"/>
      <c r="O124" s="10"/>
    </row>
    <row r="125" spans="1:15" x14ac:dyDescent="0.25">
      <c r="A125" s="5">
        <v>121</v>
      </c>
      <c r="B125" s="5"/>
      <c r="C125" s="5"/>
      <c r="D125" s="5"/>
      <c r="E125" s="5"/>
      <c r="F125" s="6"/>
      <c r="G125" s="7">
        <f>IF(C125="","",IFERROR(VLOOKUP(C125,'Périodicités'!$A:$B,2,FALSE),""))</f>
      </c>
      <c r="H125" s="5"/>
      <c r="I125" s="8">
        <f>IF(OR(F125="",NOT(ISNUMBER(IF(H125&lt;&gt;"",H125,IFERROR(VLOOKUP(C125,'Périodicités'!$A:$C,3,FALSE),""))))),"",EDATE(F125,IF(H125&lt;&gt;"",H125,IFERROR(VLOOKUP(C125,'Périodicités'!$A:$C,3,FALSE),""))))</f>
      </c>
      <c r="J125" s="9">
        <f>IF(I125="","",I125-TODAY())</f>
      </c>
      <c r="K125" s="7">
        <f>IF(B125&amp;C125="","",IF(F125="","Date à saisir",IF(I125="","Périodicité à confirmer",IF(J125&lt;0,"En retard",IF(J125&lt;=30,"À planifier","À jour")))))</f>
      </c>
      <c r="L125" s="5"/>
      <c r="M125" s="5"/>
      <c r="N125" s="5"/>
      <c r="O125" s="10"/>
    </row>
    <row r="126" spans="1:15" x14ac:dyDescent="0.25">
      <c r="A126" s="5">
        <v>122</v>
      </c>
      <c r="B126" s="5"/>
      <c r="C126" s="5"/>
      <c r="D126" s="5"/>
      <c r="E126" s="5"/>
      <c r="F126" s="6"/>
      <c r="G126" s="7">
        <f>IF(C126="","",IFERROR(VLOOKUP(C126,'Périodicités'!$A:$B,2,FALSE),""))</f>
      </c>
      <c r="H126" s="5"/>
      <c r="I126" s="8">
        <f>IF(OR(F126="",NOT(ISNUMBER(IF(H126&lt;&gt;"",H126,IFERROR(VLOOKUP(C126,'Périodicités'!$A:$C,3,FALSE),""))))),"",EDATE(F126,IF(H126&lt;&gt;"",H126,IFERROR(VLOOKUP(C126,'Périodicités'!$A:$C,3,FALSE),""))))</f>
      </c>
      <c r="J126" s="9">
        <f>IF(I126="","",I126-TODAY())</f>
      </c>
      <c r="K126" s="7">
        <f>IF(B126&amp;C126="","",IF(F126="","Date à saisir",IF(I126="","Périodicité à confirmer",IF(J126&lt;0,"En retard",IF(J126&lt;=30,"À planifier","À jour")))))</f>
      </c>
      <c r="L126" s="5"/>
      <c r="M126" s="5"/>
      <c r="N126" s="5"/>
      <c r="O126" s="10"/>
    </row>
    <row r="127" spans="1:15" x14ac:dyDescent="0.25">
      <c r="A127" s="5">
        <v>123</v>
      </c>
      <c r="B127" s="5"/>
      <c r="C127" s="5"/>
      <c r="D127" s="5"/>
      <c r="E127" s="5"/>
      <c r="F127" s="6"/>
      <c r="G127" s="7">
        <f>IF(C127="","",IFERROR(VLOOKUP(C127,'Périodicités'!$A:$B,2,FALSE),""))</f>
      </c>
      <c r="H127" s="5"/>
      <c r="I127" s="8">
        <f>IF(OR(F127="",NOT(ISNUMBER(IF(H127&lt;&gt;"",H127,IFERROR(VLOOKUP(C127,'Périodicités'!$A:$C,3,FALSE),""))))),"",EDATE(F127,IF(H127&lt;&gt;"",H127,IFERROR(VLOOKUP(C127,'Périodicités'!$A:$C,3,FALSE),""))))</f>
      </c>
      <c r="J127" s="9">
        <f>IF(I127="","",I127-TODAY())</f>
      </c>
      <c r="K127" s="7">
        <f>IF(B127&amp;C127="","",IF(F127="","Date à saisir",IF(I127="","Périodicité à confirmer",IF(J127&lt;0,"En retard",IF(J127&lt;=30,"À planifier","À jour")))))</f>
      </c>
      <c r="L127" s="5"/>
      <c r="M127" s="5"/>
      <c r="N127" s="5"/>
      <c r="O127" s="10"/>
    </row>
    <row r="128" spans="1:15" x14ac:dyDescent="0.25">
      <c r="A128" s="5">
        <v>124</v>
      </c>
      <c r="B128" s="5"/>
      <c r="C128" s="5"/>
      <c r="D128" s="5"/>
      <c r="E128" s="5"/>
      <c r="F128" s="6"/>
      <c r="G128" s="7">
        <f>IF(C128="","",IFERROR(VLOOKUP(C128,'Périodicités'!$A:$B,2,FALSE),""))</f>
      </c>
      <c r="H128" s="5"/>
      <c r="I128" s="8">
        <f>IF(OR(F128="",NOT(ISNUMBER(IF(H128&lt;&gt;"",H128,IFERROR(VLOOKUP(C128,'Périodicités'!$A:$C,3,FALSE),""))))),"",EDATE(F128,IF(H128&lt;&gt;"",H128,IFERROR(VLOOKUP(C128,'Périodicités'!$A:$C,3,FALSE),""))))</f>
      </c>
      <c r="J128" s="9">
        <f>IF(I128="","",I128-TODAY())</f>
      </c>
      <c r="K128" s="7">
        <f>IF(B128&amp;C128="","",IF(F128="","Date à saisir",IF(I128="","Périodicité à confirmer",IF(J128&lt;0,"En retard",IF(J128&lt;=30,"À planifier","À jour")))))</f>
      </c>
      <c r="L128" s="5"/>
      <c r="M128" s="5"/>
      <c r="N128" s="5"/>
      <c r="O128" s="10"/>
    </row>
    <row r="129" spans="1:15" x14ac:dyDescent="0.25">
      <c r="A129" s="5">
        <v>125</v>
      </c>
      <c r="B129" s="5"/>
      <c r="C129" s="5"/>
      <c r="D129" s="5"/>
      <c r="E129" s="5"/>
      <c r="F129" s="6"/>
      <c r="G129" s="7">
        <f>IF(C129="","",IFERROR(VLOOKUP(C129,'Périodicités'!$A:$B,2,FALSE),""))</f>
      </c>
      <c r="H129" s="5"/>
      <c r="I129" s="8">
        <f>IF(OR(F129="",NOT(ISNUMBER(IF(H129&lt;&gt;"",H129,IFERROR(VLOOKUP(C129,'Périodicités'!$A:$C,3,FALSE),""))))),"",EDATE(F129,IF(H129&lt;&gt;"",H129,IFERROR(VLOOKUP(C129,'Périodicités'!$A:$C,3,FALSE),""))))</f>
      </c>
      <c r="J129" s="9">
        <f>IF(I129="","",I129-TODAY())</f>
      </c>
      <c r="K129" s="7">
        <f>IF(B129&amp;C129="","",IF(F129="","Date à saisir",IF(I129="","Périodicité à confirmer",IF(J129&lt;0,"En retard",IF(J129&lt;=30,"À planifier","À jour")))))</f>
      </c>
      <c r="L129" s="5"/>
      <c r="M129" s="5"/>
      <c r="N129" s="5"/>
      <c r="O129" s="10"/>
    </row>
    <row r="130" spans="1:15" x14ac:dyDescent="0.25">
      <c r="A130" s="5">
        <v>126</v>
      </c>
      <c r="B130" s="5"/>
      <c r="C130" s="5"/>
      <c r="D130" s="5"/>
      <c r="E130" s="5"/>
      <c r="F130" s="6"/>
      <c r="G130" s="7">
        <f>IF(C130="","",IFERROR(VLOOKUP(C130,'Périodicités'!$A:$B,2,FALSE),""))</f>
      </c>
      <c r="H130" s="5"/>
      <c r="I130" s="8">
        <f>IF(OR(F130="",NOT(ISNUMBER(IF(H130&lt;&gt;"",H130,IFERROR(VLOOKUP(C130,'Périodicités'!$A:$C,3,FALSE),""))))),"",EDATE(F130,IF(H130&lt;&gt;"",H130,IFERROR(VLOOKUP(C130,'Périodicités'!$A:$C,3,FALSE),""))))</f>
      </c>
      <c r="J130" s="9">
        <f>IF(I130="","",I130-TODAY())</f>
      </c>
      <c r="K130" s="7">
        <f>IF(B130&amp;C130="","",IF(F130="","Date à saisir",IF(I130="","Périodicité à confirmer",IF(J130&lt;0,"En retard",IF(J130&lt;=30,"À planifier","À jour")))))</f>
      </c>
      <c r="L130" s="5"/>
      <c r="M130" s="5"/>
      <c r="N130" s="5"/>
      <c r="O130" s="10"/>
    </row>
    <row r="131" spans="1:15" x14ac:dyDescent="0.25">
      <c r="A131" s="5">
        <v>127</v>
      </c>
      <c r="B131" s="5"/>
      <c r="C131" s="5"/>
      <c r="D131" s="5"/>
      <c r="E131" s="5"/>
      <c r="F131" s="6"/>
      <c r="G131" s="7">
        <f>IF(C131="","",IFERROR(VLOOKUP(C131,'Périodicités'!$A:$B,2,FALSE),""))</f>
      </c>
      <c r="H131" s="5"/>
      <c r="I131" s="8">
        <f>IF(OR(F131="",NOT(ISNUMBER(IF(H131&lt;&gt;"",H131,IFERROR(VLOOKUP(C131,'Périodicités'!$A:$C,3,FALSE),""))))),"",EDATE(F131,IF(H131&lt;&gt;"",H131,IFERROR(VLOOKUP(C131,'Périodicités'!$A:$C,3,FALSE),""))))</f>
      </c>
      <c r="J131" s="9">
        <f>IF(I131="","",I131-TODAY())</f>
      </c>
      <c r="K131" s="7">
        <f>IF(B131&amp;C131="","",IF(F131="","Date à saisir",IF(I131="","Périodicité à confirmer",IF(J131&lt;0,"En retard",IF(J131&lt;=30,"À planifier","À jour")))))</f>
      </c>
      <c r="L131" s="5"/>
      <c r="M131" s="5"/>
      <c r="N131" s="5"/>
      <c r="O131" s="10"/>
    </row>
    <row r="132" spans="1:15" x14ac:dyDescent="0.25">
      <c r="A132" s="5">
        <v>128</v>
      </c>
      <c r="B132" s="5"/>
      <c r="C132" s="5"/>
      <c r="D132" s="5"/>
      <c r="E132" s="5"/>
      <c r="F132" s="6"/>
      <c r="G132" s="7">
        <f>IF(C132="","",IFERROR(VLOOKUP(C132,'Périodicités'!$A:$B,2,FALSE),""))</f>
      </c>
      <c r="H132" s="5"/>
      <c r="I132" s="8">
        <f>IF(OR(F132="",NOT(ISNUMBER(IF(H132&lt;&gt;"",H132,IFERROR(VLOOKUP(C132,'Périodicités'!$A:$C,3,FALSE),""))))),"",EDATE(F132,IF(H132&lt;&gt;"",H132,IFERROR(VLOOKUP(C132,'Périodicités'!$A:$C,3,FALSE),""))))</f>
      </c>
      <c r="J132" s="9">
        <f>IF(I132="","",I132-TODAY())</f>
      </c>
      <c r="K132" s="7">
        <f>IF(B132&amp;C132="","",IF(F132="","Date à saisir",IF(I132="","Périodicité à confirmer",IF(J132&lt;0,"En retard",IF(J132&lt;=30,"À planifier","À jour")))))</f>
      </c>
      <c r="L132" s="5"/>
      <c r="M132" s="5"/>
      <c r="N132" s="5"/>
      <c r="O132" s="10"/>
    </row>
    <row r="133" spans="1:15" x14ac:dyDescent="0.25">
      <c r="A133" s="5">
        <v>129</v>
      </c>
      <c r="B133" s="5"/>
      <c r="C133" s="5"/>
      <c r="D133" s="5"/>
      <c r="E133" s="5"/>
      <c r="F133" s="6"/>
      <c r="G133" s="7">
        <f>IF(C133="","",IFERROR(VLOOKUP(C133,'Périodicités'!$A:$B,2,FALSE),""))</f>
      </c>
      <c r="H133" s="5"/>
      <c r="I133" s="8">
        <f>IF(OR(F133="",NOT(ISNUMBER(IF(H133&lt;&gt;"",H133,IFERROR(VLOOKUP(C133,'Périodicités'!$A:$C,3,FALSE),""))))),"",EDATE(F133,IF(H133&lt;&gt;"",H133,IFERROR(VLOOKUP(C133,'Périodicités'!$A:$C,3,FALSE),""))))</f>
      </c>
      <c r="J133" s="9">
        <f>IF(I133="","",I133-TODAY())</f>
      </c>
      <c r="K133" s="7">
        <f>IF(B133&amp;C133="","",IF(F133="","Date à saisir",IF(I133="","Périodicité à confirmer",IF(J133&lt;0,"En retard",IF(J133&lt;=30,"À planifier","À jour")))))</f>
      </c>
      <c r="L133" s="5"/>
      <c r="M133" s="5"/>
      <c r="N133" s="5"/>
      <c r="O133" s="10"/>
    </row>
    <row r="134" spans="1:15" x14ac:dyDescent="0.25">
      <c r="A134" s="5">
        <v>130</v>
      </c>
      <c r="B134" s="5"/>
      <c r="C134" s="5"/>
      <c r="D134" s="5"/>
      <c r="E134" s="5"/>
      <c r="F134" s="6"/>
      <c r="G134" s="7">
        <f>IF(C134="","",IFERROR(VLOOKUP(C134,'Périodicités'!$A:$B,2,FALSE),""))</f>
      </c>
      <c r="H134" s="5"/>
      <c r="I134" s="8">
        <f>IF(OR(F134="",NOT(ISNUMBER(IF(H134&lt;&gt;"",H134,IFERROR(VLOOKUP(C134,'Périodicités'!$A:$C,3,FALSE),""))))),"",EDATE(F134,IF(H134&lt;&gt;"",H134,IFERROR(VLOOKUP(C134,'Périodicités'!$A:$C,3,FALSE),""))))</f>
      </c>
      <c r="J134" s="9">
        <f>IF(I134="","",I134-TODAY())</f>
      </c>
      <c r="K134" s="7">
        <f>IF(B134&amp;C134="","",IF(F134="","Date à saisir",IF(I134="","Périodicité à confirmer",IF(J134&lt;0,"En retard",IF(J134&lt;=30,"À planifier","À jour")))))</f>
      </c>
      <c r="L134" s="5"/>
      <c r="M134" s="5"/>
      <c r="N134" s="5"/>
      <c r="O134" s="10"/>
    </row>
    <row r="135" spans="1:15" x14ac:dyDescent="0.25">
      <c r="A135" s="5">
        <v>131</v>
      </c>
      <c r="B135" s="5"/>
      <c r="C135" s="5"/>
      <c r="D135" s="5"/>
      <c r="E135" s="5"/>
      <c r="F135" s="6"/>
      <c r="G135" s="7">
        <f>IF(C135="","",IFERROR(VLOOKUP(C135,'Périodicités'!$A:$B,2,FALSE),""))</f>
      </c>
      <c r="H135" s="5"/>
      <c r="I135" s="8">
        <f>IF(OR(F135="",NOT(ISNUMBER(IF(H135&lt;&gt;"",H135,IFERROR(VLOOKUP(C135,'Périodicités'!$A:$C,3,FALSE),""))))),"",EDATE(F135,IF(H135&lt;&gt;"",H135,IFERROR(VLOOKUP(C135,'Périodicités'!$A:$C,3,FALSE),""))))</f>
      </c>
      <c r="J135" s="9">
        <f>IF(I135="","",I135-TODAY())</f>
      </c>
      <c r="K135" s="7">
        <f>IF(B135&amp;C135="","",IF(F135="","Date à saisir",IF(I135="","Périodicité à confirmer",IF(J135&lt;0,"En retard",IF(J135&lt;=30,"À planifier","À jour")))))</f>
      </c>
      <c r="L135" s="5"/>
      <c r="M135" s="5"/>
      <c r="N135" s="5"/>
      <c r="O135" s="10"/>
    </row>
    <row r="136" spans="1:15" x14ac:dyDescent="0.25">
      <c r="A136" s="5">
        <v>132</v>
      </c>
      <c r="B136" s="5"/>
      <c r="C136" s="5"/>
      <c r="D136" s="5"/>
      <c r="E136" s="5"/>
      <c r="F136" s="6"/>
      <c r="G136" s="7">
        <f>IF(C136="","",IFERROR(VLOOKUP(C136,'Périodicités'!$A:$B,2,FALSE),""))</f>
      </c>
      <c r="H136" s="5"/>
      <c r="I136" s="8">
        <f>IF(OR(F136="",NOT(ISNUMBER(IF(H136&lt;&gt;"",H136,IFERROR(VLOOKUP(C136,'Périodicités'!$A:$C,3,FALSE),""))))),"",EDATE(F136,IF(H136&lt;&gt;"",H136,IFERROR(VLOOKUP(C136,'Périodicités'!$A:$C,3,FALSE),""))))</f>
      </c>
      <c r="J136" s="9">
        <f>IF(I136="","",I136-TODAY())</f>
      </c>
      <c r="K136" s="7">
        <f>IF(B136&amp;C136="","",IF(F136="","Date à saisir",IF(I136="","Périodicité à confirmer",IF(J136&lt;0,"En retard",IF(J136&lt;=30,"À planifier","À jour")))))</f>
      </c>
      <c r="L136" s="5"/>
      <c r="M136" s="5"/>
      <c r="N136" s="5"/>
      <c r="O136" s="10"/>
    </row>
    <row r="137" spans="1:15" x14ac:dyDescent="0.25">
      <c r="A137" s="5">
        <v>133</v>
      </c>
      <c r="B137" s="5"/>
      <c r="C137" s="5"/>
      <c r="D137" s="5"/>
      <c r="E137" s="5"/>
      <c r="F137" s="6"/>
      <c r="G137" s="7">
        <f>IF(C137="","",IFERROR(VLOOKUP(C137,'Périodicités'!$A:$B,2,FALSE),""))</f>
      </c>
      <c r="H137" s="5"/>
      <c r="I137" s="8">
        <f>IF(OR(F137="",NOT(ISNUMBER(IF(H137&lt;&gt;"",H137,IFERROR(VLOOKUP(C137,'Périodicités'!$A:$C,3,FALSE),""))))),"",EDATE(F137,IF(H137&lt;&gt;"",H137,IFERROR(VLOOKUP(C137,'Périodicités'!$A:$C,3,FALSE),""))))</f>
      </c>
      <c r="J137" s="9">
        <f>IF(I137="","",I137-TODAY())</f>
      </c>
      <c r="K137" s="7">
        <f>IF(B137&amp;C137="","",IF(F137="","Date à saisir",IF(I137="","Périodicité à confirmer",IF(J137&lt;0,"En retard",IF(J137&lt;=30,"À planifier","À jour")))))</f>
      </c>
      <c r="L137" s="5"/>
      <c r="M137" s="5"/>
      <c r="N137" s="5"/>
      <c r="O137" s="10"/>
    </row>
    <row r="138" spans="1:15" x14ac:dyDescent="0.25">
      <c r="A138" s="5">
        <v>134</v>
      </c>
      <c r="B138" s="5"/>
      <c r="C138" s="5"/>
      <c r="D138" s="5"/>
      <c r="E138" s="5"/>
      <c r="F138" s="6"/>
      <c r="G138" s="7">
        <f>IF(C138="","",IFERROR(VLOOKUP(C138,'Périodicités'!$A:$B,2,FALSE),""))</f>
      </c>
      <c r="H138" s="5"/>
      <c r="I138" s="8">
        <f>IF(OR(F138="",NOT(ISNUMBER(IF(H138&lt;&gt;"",H138,IFERROR(VLOOKUP(C138,'Périodicités'!$A:$C,3,FALSE),""))))),"",EDATE(F138,IF(H138&lt;&gt;"",H138,IFERROR(VLOOKUP(C138,'Périodicités'!$A:$C,3,FALSE),""))))</f>
      </c>
      <c r="J138" s="9">
        <f>IF(I138="","",I138-TODAY())</f>
      </c>
      <c r="K138" s="7">
        <f>IF(B138&amp;C138="","",IF(F138="","Date à saisir",IF(I138="","Périodicité à confirmer",IF(J138&lt;0,"En retard",IF(J138&lt;=30,"À planifier","À jour")))))</f>
      </c>
      <c r="L138" s="5"/>
      <c r="M138" s="5"/>
      <c r="N138" s="5"/>
      <c r="O138" s="10"/>
    </row>
    <row r="139" spans="1:15" x14ac:dyDescent="0.25">
      <c r="A139" s="5">
        <v>135</v>
      </c>
      <c r="B139" s="5"/>
      <c r="C139" s="5"/>
      <c r="D139" s="5"/>
      <c r="E139" s="5"/>
      <c r="F139" s="6"/>
      <c r="G139" s="7">
        <f>IF(C139="","",IFERROR(VLOOKUP(C139,'Périodicités'!$A:$B,2,FALSE),""))</f>
      </c>
      <c r="H139" s="5"/>
      <c r="I139" s="8">
        <f>IF(OR(F139="",NOT(ISNUMBER(IF(H139&lt;&gt;"",H139,IFERROR(VLOOKUP(C139,'Périodicités'!$A:$C,3,FALSE),""))))),"",EDATE(F139,IF(H139&lt;&gt;"",H139,IFERROR(VLOOKUP(C139,'Périodicités'!$A:$C,3,FALSE),""))))</f>
      </c>
      <c r="J139" s="9">
        <f>IF(I139="","",I139-TODAY())</f>
      </c>
      <c r="K139" s="7">
        <f>IF(B139&amp;C139="","",IF(F139="","Date à saisir",IF(I139="","Périodicité à confirmer",IF(J139&lt;0,"En retard",IF(J139&lt;=30,"À planifier","À jour")))))</f>
      </c>
      <c r="L139" s="5"/>
      <c r="M139" s="5"/>
      <c r="N139" s="5"/>
      <c r="O139" s="10"/>
    </row>
    <row r="140" spans="1:15" x14ac:dyDescent="0.25">
      <c r="A140" s="5">
        <v>136</v>
      </c>
      <c r="B140" s="5"/>
      <c r="C140" s="5"/>
      <c r="D140" s="5"/>
      <c r="E140" s="5"/>
      <c r="F140" s="6"/>
      <c r="G140" s="7">
        <f>IF(C140="","",IFERROR(VLOOKUP(C140,'Périodicités'!$A:$B,2,FALSE),""))</f>
      </c>
      <c r="H140" s="5"/>
      <c r="I140" s="8">
        <f>IF(OR(F140="",NOT(ISNUMBER(IF(H140&lt;&gt;"",H140,IFERROR(VLOOKUP(C140,'Périodicités'!$A:$C,3,FALSE),""))))),"",EDATE(F140,IF(H140&lt;&gt;"",H140,IFERROR(VLOOKUP(C140,'Périodicités'!$A:$C,3,FALSE),""))))</f>
      </c>
      <c r="J140" s="9">
        <f>IF(I140="","",I140-TODAY())</f>
      </c>
      <c r="K140" s="7">
        <f>IF(B140&amp;C140="","",IF(F140="","Date à saisir",IF(I140="","Périodicité à confirmer",IF(J140&lt;0,"En retard",IF(J140&lt;=30,"À planifier","À jour")))))</f>
      </c>
      <c r="L140" s="5"/>
      <c r="M140" s="5"/>
      <c r="N140" s="5"/>
      <c r="O140" s="10"/>
    </row>
    <row r="141" spans="1:15" x14ac:dyDescent="0.25">
      <c r="A141" s="5">
        <v>137</v>
      </c>
      <c r="B141" s="5"/>
      <c r="C141" s="5"/>
      <c r="D141" s="5"/>
      <c r="E141" s="5"/>
      <c r="F141" s="6"/>
      <c r="G141" s="7">
        <f>IF(C141="","",IFERROR(VLOOKUP(C141,'Périodicités'!$A:$B,2,FALSE),""))</f>
      </c>
      <c r="H141" s="5"/>
      <c r="I141" s="8">
        <f>IF(OR(F141="",NOT(ISNUMBER(IF(H141&lt;&gt;"",H141,IFERROR(VLOOKUP(C141,'Périodicités'!$A:$C,3,FALSE),""))))),"",EDATE(F141,IF(H141&lt;&gt;"",H141,IFERROR(VLOOKUP(C141,'Périodicités'!$A:$C,3,FALSE),""))))</f>
      </c>
      <c r="J141" s="9">
        <f>IF(I141="","",I141-TODAY())</f>
      </c>
      <c r="K141" s="7">
        <f>IF(B141&amp;C141="","",IF(F141="","Date à saisir",IF(I141="","Périodicité à confirmer",IF(J141&lt;0,"En retard",IF(J141&lt;=30,"À planifier","À jour")))))</f>
      </c>
      <c r="L141" s="5"/>
      <c r="M141" s="5"/>
      <c r="N141" s="5"/>
      <c r="O141" s="10"/>
    </row>
    <row r="142" spans="1:15" x14ac:dyDescent="0.25">
      <c r="A142" s="5">
        <v>138</v>
      </c>
      <c r="B142" s="5"/>
      <c r="C142" s="5"/>
      <c r="D142" s="5"/>
      <c r="E142" s="5"/>
      <c r="F142" s="6"/>
      <c r="G142" s="7">
        <f>IF(C142="","",IFERROR(VLOOKUP(C142,'Périodicités'!$A:$B,2,FALSE),""))</f>
      </c>
      <c r="H142" s="5"/>
      <c r="I142" s="8">
        <f>IF(OR(F142="",NOT(ISNUMBER(IF(H142&lt;&gt;"",H142,IFERROR(VLOOKUP(C142,'Périodicités'!$A:$C,3,FALSE),""))))),"",EDATE(F142,IF(H142&lt;&gt;"",H142,IFERROR(VLOOKUP(C142,'Périodicités'!$A:$C,3,FALSE),""))))</f>
      </c>
      <c r="J142" s="9">
        <f>IF(I142="","",I142-TODAY())</f>
      </c>
      <c r="K142" s="7">
        <f>IF(B142&amp;C142="","",IF(F142="","Date à saisir",IF(I142="","Périodicité à confirmer",IF(J142&lt;0,"En retard",IF(J142&lt;=30,"À planifier","À jour")))))</f>
      </c>
      <c r="L142" s="5"/>
      <c r="M142" s="5"/>
      <c r="N142" s="5"/>
      <c r="O142" s="10"/>
    </row>
    <row r="143" spans="1:15" x14ac:dyDescent="0.25">
      <c r="A143" s="5">
        <v>139</v>
      </c>
      <c r="B143" s="5"/>
      <c r="C143" s="5"/>
      <c r="D143" s="5"/>
      <c r="E143" s="5"/>
      <c r="F143" s="6"/>
      <c r="G143" s="7">
        <f>IF(C143="","",IFERROR(VLOOKUP(C143,'Périodicités'!$A:$B,2,FALSE),""))</f>
      </c>
      <c r="H143" s="5"/>
      <c r="I143" s="8">
        <f>IF(OR(F143="",NOT(ISNUMBER(IF(H143&lt;&gt;"",H143,IFERROR(VLOOKUP(C143,'Périodicités'!$A:$C,3,FALSE),""))))),"",EDATE(F143,IF(H143&lt;&gt;"",H143,IFERROR(VLOOKUP(C143,'Périodicités'!$A:$C,3,FALSE),""))))</f>
      </c>
      <c r="J143" s="9">
        <f>IF(I143="","",I143-TODAY())</f>
      </c>
      <c r="K143" s="7">
        <f>IF(B143&amp;C143="","",IF(F143="","Date à saisir",IF(I143="","Périodicité à confirmer",IF(J143&lt;0,"En retard",IF(J143&lt;=30,"À planifier","À jour")))))</f>
      </c>
      <c r="L143" s="5"/>
      <c r="M143" s="5"/>
      <c r="N143" s="5"/>
      <c r="O143" s="10"/>
    </row>
    <row r="144" spans="1:15" x14ac:dyDescent="0.25">
      <c r="A144" s="5">
        <v>140</v>
      </c>
      <c r="B144" s="5"/>
      <c r="C144" s="5"/>
      <c r="D144" s="5"/>
      <c r="E144" s="5"/>
      <c r="F144" s="6"/>
      <c r="G144" s="7">
        <f>IF(C144="","",IFERROR(VLOOKUP(C144,'Périodicités'!$A:$B,2,FALSE),""))</f>
      </c>
      <c r="H144" s="5"/>
      <c r="I144" s="8">
        <f>IF(OR(F144="",NOT(ISNUMBER(IF(H144&lt;&gt;"",H144,IFERROR(VLOOKUP(C144,'Périodicités'!$A:$C,3,FALSE),""))))),"",EDATE(F144,IF(H144&lt;&gt;"",H144,IFERROR(VLOOKUP(C144,'Périodicités'!$A:$C,3,FALSE),""))))</f>
      </c>
      <c r="J144" s="9">
        <f>IF(I144="","",I144-TODAY())</f>
      </c>
      <c r="K144" s="7">
        <f>IF(B144&amp;C144="","",IF(F144="","Date à saisir",IF(I144="","Périodicité à confirmer",IF(J144&lt;0,"En retard",IF(J144&lt;=30,"À planifier","À jour")))))</f>
      </c>
      <c r="L144" s="5"/>
      <c r="M144" s="5"/>
      <c r="N144" s="5"/>
      <c r="O144" s="10"/>
    </row>
    <row r="145" spans="1:15" x14ac:dyDescent="0.25">
      <c r="A145" s="5">
        <v>141</v>
      </c>
      <c r="B145" s="5"/>
      <c r="C145" s="5"/>
      <c r="D145" s="5"/>
      <c r="E145" s="5"/>
      <c r="F145" s="6"/>
      <c r="G145" s="7">
        <f>IF(C145="","",IFERROR(VLOOKUP(C145,'Périodicités'!$A:$B,2,FALSE),""))</f>
      </c>
      <c r="H145" s="5"/>
      <c r="I145" s="8">
        <f>IF(OR(F145="",NOT(ISNUMBER(IF(H145&lt;&gt;"",H145,IFERROR(VLOOKUP(C145,'Périodicités'!$A:$C,3,FALSE),""))))),"",EDATE(F145,IF(H145&lt;&gt;"",H145,IFERROR(VLOOKUP(C145,'Périodicités'!$A:$C,3,FALSE),""))))</f>
      </c>
      <c r="J145" s="9">
        <f>IF(I145="","",I145-TODAY())</f>
      </c>
      <c r="K145" s="7">
        <f>IF(B145&amp;C145="","",IF(F145="","Date à saisir",IF(I145="","Périodicité à confirmer",IF(J145&lt;0,"En retard",IF(J145&lt;=30,"À planifier","À jour")))))</f>
      </c>
      <c r="L145" s="5"/>
      <c r="M145" s="5"/>
      <c r="N145" s="5"/>
      <c r="O145" s="10"/>
    </row>
    <row r="146" spans="1:15" x14ac:dyDescent="0.25">
      <c r="A146" s="5">
        <v>142</v>
      </c>
      <c r="B146" s="5"/>
      <c r="C146" s="5"/>
      <c r="D146" s="5"/>
      <c r="E146" s="5"/>
      <c r="F146" s="6"/>
      <c r="G146" s="7">
        <f>IF(C146="","",IFERROR(VLOOKUP(C146,'Périodicités'!$A:$B,2,FALSE),""))</f>
      </c>
      <c r="H146" s="5"/>
      <c r="I146" s="8">
        <f>IF(OR(F146="",NOT(ISNUMBER(IF(H146&lt;&gt;"",H146,IFERROR(VLOOKUP(C146,'Périodicités'!$A:$C,3,FALSE),""))))),"",EDATE(F146,IF(H146&lt;&gt;"",H146,IFERROR(VLOOKUP(C146,'Périodicités'!$A:$C,3,FALSE),""))))</f>
      </c>
      <c r="J146" s="9">
        <f>IF(I146="","",I146-TODAY())</f>
      </c>
      <c r="K146" s="7">
        <f>IF(B146&amp;C146="","",IF(F146="","Date à saisir",IF(I146="","Périodicité à confirmer",IF(J146&lt;0,"En retard",IF(J146&lt;=30,"À planifier","À jour")))))</f>
      </c>
      <c r="L146" s="5"/>
      <c r="M146" s="5"/>
      <c r="N146" s="5"/>
      <c r="O146" s="10"/>
    </row>
    <row r="147" spans="1:15" x14ac:dyDescent="0.25">
      <c r="A147" s="5">
        <v>143</v>
      </c>
      <c r="B147" s="5"/>
      <c r="C147" s="5"/>
      <c r="D147" s="5"/>
      <c r="E147" s="5"/>
      <c r="F147" s="6"/>
      <c r="G147" s="7">
        <f>IF(C147="","",IFERROR(VLOOKUP(C147,'Périodicités'!$A:$B,2,FALSE),""))</f>
      </c>
      <c r="H147" s="5"/>
      <c r="I147" s="8">
        <f>IF(OR(F147="",NOT(ISNUMBER(IF(H147&lt;&gt;"",H147,IFERROR(VLOOKUP(C147,'Périodicités'!$A:$C,3,FALSE),""))))),"",EDATE(F147,IF(H147&lt;&gt;"",H147,IFERROR(VLOOKUP(C147,'Périodicités'!$A:$C,3,FALSE),""))))</f>
      </c>
      <c r="J147" s="9">
        <f>IF(I147="","",I147-TODAY())</f>
      </c>
      <c r="K147" s="7">
        <f>IF(B147&amp;C147="","",IF(F147="","Date à saisir",IF(I147="","Périodicité à confirmer",IF(J147&lt;0,"En retard",IF(J147&lt;=30,"À planifier","À jour")))))</f>
      </c>
      <c r="L147" s="5"/>
      <c r="M147" s="5"/>
      <c r="N147" s="5"/>
      <c r="O147" s="10"/>
    </row>
    <row r="148" spans="1:15" x14ac:dyDescent="0.25">
      <c r="A148" s="5">
        <v>144</v>
      </c>
      <c r="B148" s="5"/>
      <c r="C148" s="5"/>
      <c r="D148" s="5"/>
      <c r="E148" s="5"/>
      <c r="F148" s="6"/>
      <c r="G148" s="7">
        <f>IF(C148="","",IFERROR(VLOOKUP(C148,'Périodicités'!$A:$B,2,FALSE),""))</f>
      </c>
      <c r="H148" s="5"/>
      <c r="I148" s="8">
        <f>IF(OR(F148="",NOT(ISNUMBER(IF(H148&lt;&gt;"",H148,IFERROR(VLOOKUP(C148,'Périodicités'!$A:$C,3,FALSE),""))))),"",EDATE(F148,IF(H148&lt;&gt;"",H148,IFERROR(VLOOKUP(C148,'Périodicités'!$A:$C,3,FALSE),""))))</f>
      </c>
      <c r="J148" s="9">
        <f>IF(I148="","",I148-TODAY())</f>
      </c>
      <c r="K148" s="7">
        <f>IF(B148&amp;C148="","",IF(F148="","Date à saisir",IF(I148="","Périodicité à confirmer",IF(J148&lt;0,"En retard",IF(J148&lt;=30,"À planifier","À jour")))))</f>
      </c>
      <c r="L148" s="5"/>
      <c r="M148" s="5"/>
      <c r="N148" s="5"/>
      <c r="O148" s="10"/>
    </row>
    <row r="149" spans="1:15" x14ac:dyDescent="0.25">
      <c r="A149" s="5">
        <v>145</v>
      </c>
      <c r="B149" s="5"/>
      <c r="C149" s="5"/>
      <c r="D149" s="5"/>
      <c r="E149" s="5"/>
      <c r="F149" s="6"/>
      <c r="G149" s="7">
        <f>IF(C149="","",IFERROR(VLOOKUP(C149,'Périodicités'!$A:$B,2,FALSE),""))</f>
      </c>
      <c r="H149" s="5"/>
      <c r="I149" s="8">
        <f>IF(OR(F149="",NOT(ISNUMBER(IF(H149&lt;&gt;"",H149,IFERROR(VLOOKUP(C149,'Périodicités'!$A:$C,3,FALSE),""))))),"",EDATE(F149,IF(H149&lt;&gt;"",H149,IFERROR(VLOOKUP(C149,'Périodicités'!$A:$C,3,FALSE),""))))</f>
      </c>
      <c r="J149" s="9">
        <f>IF(I149="","",I149-TODAY())</f>
      </c>
      <c r="K149" s="7">
        <f>IF(B149&amp;C149="","",IF(F149="","Date à saisir",IF(I149="","Périodicité à confirmer",IF(J149&lt;0,"En retard",IF(J149&lt;=30,"À planifier","À jour")))))</f>
      </c>
      <c r="L149" s="5"/>
      <c r="M149" s="5"/>
      <c r="N149" s="5"/>
      <c r="O149" s="10"/>
    </row>
    <row r="150" spans="1:15" x14ac:dyDescent="0.25">
      <c r="A150" s="5">
        <v>146</v>
      </c>
      <c r="B150" s="5"/>
      <c r="C150" s="5"/>
      <c r="D150" s="5"/>
      <c r="E150" s="5"/>
      <c r="F150" s="6"/>
      <c r="G150" s="7">
        <f>IF(C150="","",IFERROR(VLOOKUP(C150,'Périodicités'!$A:$B,2,FALSE),""))</f>
      </c>
      <c r="H150" s="5"/>
      <c r="I150" s="8">
        <f>IF(OR(F150="",NOT(ISNUMBER(IF(H150&lt;&gt;"",H150,IFERROR(VLOOKUP(C150,'Périodicités'!$A:$C,3,FALSE),""))))),"",EDATE(F150,IF(H150&lt;&gt;"",H150,IFERROR(VLOOKUP(C150,'Périodicités'!$A:$C,3,FALSE),""))))</f>
      </c>
      <c r="J150" s="9">
        <f>IF(I150="","",I150-TODAY())</f>
      </c>
      <c r="K150" s="7">
        <f>IF(B150&amp;C150="","",IF(F150="","Date à saisir",IF(I150="","Périodicité à confirmer",IF(J150&lt;0,"En retard",IF(J150&lt;=30,"À planifier","À jour")))))</f>
      </c>
      <c r="L150" s="5"/>
      <c r="M150" s="5"/>
      <c r="N150" s="5"/>
      <c r="O150" s="10"/>
    </row>
    <row r="151" spans="1:15" x14ac:dyDescent="0.25">
      <c r="A151" s="5">
        <v>147</v>
      </c>
      <c r="B151" s="5"/>
      <c r="C151" s="5"/>
      <c r="D151" s="5"/>
      <c r="E151" s="5"/>
      <c r="F151" s="6"/>
      <c r="G151" s="7">
        <f>IF(C151="","",IFERROR(VLOOKUP(C151,'Périodicités'!$A:$B,2,FALSE),""))</f>
      </c>
      <c r="H151" s="5"/>
      <c r="I151" s="8">
        <f>IF(OR(F151="",NOT(ISNUMBER(IF(H151&lt;&gt;"",H151,IFERROR(VLOOKUP(C151,'Périodicités'!$A:$C,3,FALSE),""))))),"",EDATE(F151,IF(H151&lt;&gt;"",H151,IFERROR(VLOOKUP(C151,'Périodicités'!$A:$C,3,FALSE),""))))</f>
      </c>
      <c r="J151" s="9">
        <f>IF(I151="","",I151-TODAY())</f>
      </c>
      <c r="K151" s="7">
        <f>IF(B151&amp;C151="","",IF(F151="","Date à saisir",IF(I151="","Périodicité à confirmer",IF(J151&lt;0,"En retard",IF(J151&lt;=30,"À planifier","À jour")))))</f>
      </c>
      <c r="L151" s="5"/>
      <c r="M151" s="5"/>
      <c r="N151" s="5"/>
      <c r="O151" s="10"/>
    </row>
    <row r="152" spans="1:15" x14ac:dyDescent="0.25">
      <c r="A152" s="5">
        <v>148</v>
      </c>
      <c r="B152" s="5"/>
      <c r="C152" s="5"/>
      <c r="D152" s="5"/>
      <c r="E152" s="5"/>
      <c r="F152" s="6"/>
      <c r="G152" s="7">
        <f>IF(C152="","",IFERROR(VLOOKUP(C152,'Périodicités'!$A:$B,2,FALSE),""))</f>
      </c>
      <c r="H152" s="5"/>
      <c r="I152" s="8">
        <f>IF(OR(F152="",NOT(ISNUMBER(IF(H152&lt;&gt;"",H152,IFERROR(VLOOKUP(C152,'Périodicités'!$A:$C,3,FALSE),""))))),"",EDATE(F152,IF(H152&lt;&gt;"",H152,IFERROR(VLOOKUP(C152,'Périodicités'!$A:$C,3,FALSE),""))))</f>
      </c>
      <c r="J152" s="9">
        <f>IF(I152="","",I152-TODAY())</f>
      </c>
      <c r="K152" s="7">
        <f>IF(B152&amp;C152="","",IF(F152="","Date à saisir",IF(I152="","Périodicité à confirmer",IF(J152&lt;0,"En retard",IF(J152&lt;=30,"À planifier","À jour")))))</f>
      </c>
      <c r="L152" s="5"/>
      <c r="M152" s="5"/>
      <c r="N152" s="5"/>
      <c r="O152" s="10"/>
    </row>
    <row r="153" spans="1:15" x14ac:dyDescent="0.25">
      <c r="A153" s="5">
        <v>149</v>
      </c>
      <c r="B153" s="5"/>
      <c r="C153" s="5"/>
      <c r="D153" s="5"/>
      <c r="E153" s="5"/>
      <c r="F153" s="6"/>
      <c r="G153" s="7">
        <f>IF(C153="","",IFERROR(VLOOKUP(C153,'Périodicités'!$A:$B,2,FALSE),""))</f>
      </c>
      <c r="H153" s="5"/>
      <c r="I153" s="8">
        <f>IF(OR(F153="",NOT(ISNUMBER(IF(H153&lt;&gt;"",H153,IFERROR(VLOOKUP(C153,'Périodicités'!$A:$C,3,FALSE),""))))),"",EDATE(F153,IF(H153&lt;&gt;"",H153,IFERROR(VLOOKUP(C153,'Périodicités'!$A:$C,3,FALSE),""))))</f>
      </c>
      <c r="J153" s="9">
        <f>IF(I153="","",I153-TODAY())</f>
      </c>
      <c r="K153" s="7">
        <f>IF(B153&amp;C153="","",IF(F153="","Date à saisir",IF(I153="","Périodicité à confirmer",IF(J153&lt;0,"En retard",IF(J153&lt;=30,"À planifier","À jour")))))</f>
      </c>
      <c r="L153" s="5"/>
      <c r="M153" s="5"/>
      <c r="N153" s="5"/>
      <c r="O153" s="10"/>
    </row>
    <row r="154" spans="1:15" x14ac:dyDescent="0.25">
      <c r="A154" s="5">
        <v>150</v>
      </c>
      <c r="B154" s="5"/>
      <c r="C154" s="5"/>
      <c r="D154" s="5"/>
      <c r="E154" s="5"/>
      <c r="F154" s="6"/>
      <c r="G154" s="7">
        <f>IF(C154="","",IFERROR(VLOOKUP(C154,'Périodicités'!$A:$B,2,FALSE),""))</f>
      </c>
      <c r="H154" s="5"/>
      <c r="I154" s="8">
        <f>IF(OR(F154="",NOT(ISNUMBER(IF(H154&lt;&gt;"",H154,IFERROR(VLOOKUP(C154,'Périodicités'!$A:$C,3,FALSE),""))))),"",EDATE(F154,IF(H154&lt;&gt;"",H154,IFERROR(VLOOKUP(C154,'Périodicités'!$A:$C,3,FALSE),""))))</f>
      </c>
      <c r="J154" s="9">
        <f>IF(I154="","",I154-TODAY())</f>
      </c>
      <c r="K154" s="7">
        <f>IF(B154&amp;C154="","",IF(F154="","Date à saisir",IF(I154="","Périodicité à confirmer",IF(J154&lt;0,"En retard",IF(J154&lt;=30,"À planifier","À jour")))))</f>
      </c>
      <c r="L154" s="5"/>
      <c r="M154" s="5"/>
      <c r="N154" s="5"/>
      <c r="O154" s="10"/>
    </row>
    <row r="155" spans="1:15" x14ac:dyDescent="0.25">
      <c r="A155" s="5">
        <v>151</v>
      </c>
      <c r="B155" s="5"/>
      <c r="C155" s="5"/>
      <c r="D155" s="5"/>
      <c r="E155" s="5"/>
      <c r="F155" s="6"/>
      <c r="G155" s="7">
        <f>IF(C155="","",IFERROR(VLOOKUP(C155,'Périodicités'!$A:$B,2,FALSE),""))</f>
      </c>
      <c r="H155" s="5"/>
      <c r="I155" s="8">
        <f>IF(OR(F155="",NOT(ISNUMBER(IF(H155&lt;&gt;"",H155,IFERROR(VLOOKUP(C155,'Périodicités'!$A:$C,3,FALSE),""))))),"",EDATE(F155,IF(H155&lt;&gt;"",H155,IFERROR(VLOOKUP(C155,'Périodicités'!$A:$C,3,FALSE),""))))</f>
      </c>
      <c r="J155" s="9">
        <f>IF(I155="","",I155-TODAY())</f>
      </c>
      <c r="K155" s="7">
        <f>IF(B155&amp;C155="","",IF(F155="","Date à saisir",IF(I155="","Périodicité à confirmer",IF(J155&lt;0,"En retard",IF(J155&lt;=30,"À planifier","À jour")))))</f>
      </c>
      <c r="L155" s="5"/>
      <c r="M155" s="5"/>
      <c r="N155" s="5"/>
      <c r="O155" s="10"/>
    </row>
    <row r="156" spans="1:15" x14ac:dyDescent="0.25">
      <c r="A156" s="5">
        <v>152</v>
      </c>
      <c r="B156" s="5"/>
      <c r="C156" s="5"/>
      <c r="D156" s="5"/>
      <c r="E156" s="5"/>
      <c r="F156" s="6"/>
      <c r="G156" s="7">
        <f>IF(C156="","",IFERROR(VLOOKUP(C156,'Périodicités'!$A:$B,2,FALSE),""))</f>
      </c>
      <c r="H156" s="5"/>
      <c r="I156" s="8">
        <f>IF(OR(F156="",NOT(ISNUMBER(IF(H156&lt;&gt;"",H156,IFERROR(VLOOKUP(C156,'Périodicités'!$A:$C,3,FALSE),""))))),"",EDATE(F156,IF(H156&lt;&gt;"",H156,IFERROR(VLOOKUP(C156,'Périodicités'!$A:$C,3,FALSE),""))))</f>
      </c>
      <c r="J156" s="9">
        <f>IF(I156="","",I156-TODAY())</f>
      </c>
      <c r="K156" s="7">
        <f>IF(B156&amp;C156="","",IF(F156="","Date à saisir",IF(I156="","Périodicité à confirmer",IF(J156&lt;0,"En retard",IF(J156&lt;=30,"À planifier","À jour")))))</f>
      </c>
      <c r="L156" s="5"/>
      <c r="M156" s="5"/>
      <c r="N156" s="5"/>
      <c r="O156" s="10"/>
    </row>
    <row r="157" spans="1:15" x14ac:dyDescent="0.25">
      <c r="A157" s="5">
        <v>153</v>
      </c>
      <c r="B157" s="5"/>
      <c r="C157" s="5"/>
      <c r="D157" s="5"/>
      <c r="E157" s="5"/>
      <c r="F157" s="6"/>
      <c r="G157" s="7">
        <f>IF(C157="","",IFERROR(VLOOKUP(C157,'Périodicités'!$A:$B,2,FALSE),""))</f>
      </c>
      <c r="H157" s="5"/>
      <c r="I157" s="8">
        <f>IF(OR(F157="",NOT(ISNUMBER(IF(H157&lt;&gt;"",H157,IFERROR(VLOOKUP(C157,'Périodicités'!$A:$C,3,FALSE),""))))),"",EDATE(F157,IF(H157&lt;&gt;"",H157,IFERROR(VLOOKUP(C157,'Périodicités'!$A:$C,3,FALSE),""))))</f>
      </c>
      <c r="J157" s="9">
        <f>IF(I157="","",I157-TODAY())</f>
      </c>
      <c r="K157" s="7">
        <f>IF(B157&amp;C157="","",IF(F157="","Date à saisir",IF(I157="","Périodicité à confirmer",IF(J157&lt;0,"En retard",IF(J157&lt;=30,"À planifier","À jour")))))</f>
      </c>
      <c r="L157" s="5"/>
      <c r="M157" s="5"/>
      <c r="N157" s="5"/>
      <c r="O157" s="10"/>
    </row>
    <row r="158" spans="1:15" x14ac:dyDescent="0.25">
      <c r="A158" s="5">
        <v>154</v>
      </c>
      <c r="B158" s="5"/>
      <c r="C158" s="5"/>
      <c r="D158" s="5"/>
      <c r="E158" s="5"/>
      <c r="F158" s="6"/>
      <c r="G158" s="7">
        <f>IF(C158="","",IFERROR(VLOOKUP(C158,'Périodicités'!$A:$B,2,FALSE),""))</f>
      </c>
      <c r="H158" s="5"/>
      <c r="I158" s="8">
        <f>IF(OR(F158="",NOT(ISNUMBER(IF(H158&lt;&gt;"",H158,IFERROR(VLOOKUP(C158,'Périodicités'!$A:$C,3,FALSE),""))))),"",EDATE(F158,IF(H158&lt;&gt;"",H158,IFERROR(VLOOKUP(C158,'Périodicités'!$A:$C,3,FALSE),""))))</f>
      </c>
      <c r="J158" s="9">
        <f>IF(I158="","",I158-TODAY())</f>
      </c>
      <c r="K158" s="7">
        <f>IF(B158&amp;C158="","",IF(F158="","Date à saisir",IF(I158="","Périodicité à confirmer",IF(J158&lt;0,"En retard",IF(J158&lt;=30,"À planifier","À jour")))))</f>
      </c>
      <c r="L158" s="5"/>
      <c r="M158" s="5"/>
      <c r="N158" s="5"/>
      <c r="O158" s="10"/>
    </row>
    <row r="159" spans="1:15" x14ac:dyDescent="0.25">
      <c r="A159" s="5">
        <v>155</v>
      </c>
      <c r="B159" s="5"/>
      <c r="C159" s="5"/>
      <c r="D159" s="5"/>
      <c r="E159" s="5"/>
      <c r="F159" s="6"/>
      <c r="G159" s="7">
        <f>IF(C159="","",IFERROR(VLOOKUP(C159,'Périodicités'!$A:$B,2,FALSE),""))</f>
      </c>
      <c r="H159" s="5"/>
      <c r="I159" s="8">
        <f>IF(OR(F159="",NOT(ISNUMBER(IF(H159&lt;&gt;"",H159,IFERROR(VLOOKUP(C159,'Périodicités'!$A:$C,3,FALSE),""))))),"",EDATE(F159,IF(H159&lt;&gt;"",H159,IFERROR(VLOOKUP(C159,'Périodicités'!$A:$C,3,FALSE),""))))</f>
      </c>
      <c r="J159" s="9">
        <f>IF(I159="","",I159-TODAY())</f>
      </c>
      <c r="K159" s="7">
        <f>IF(B159&amp;C159="","",IF(F159="","Date à saisir",IF(I159="","Périodicité à confirmer",IF(J159&lt;0,"En retard",IF(J159&lt;=30,"À planifier","À jour")))))</f>
      </c>
      <c r="L159" s="5"/>
      <c r="M159" s="5"/>
      <c r="N159" s="5"/>
      <c r="O159" s="10"/>
    </row>
    <row r="160" spans="1:15" x14ac:dyDescent="0.25">
      <c r="A160" s="5">
        <v>156</v>
      </c>
      <c r="B160" s="5"/>
      <c r="C160" s="5"/>
      <c r="D160" s="5"/>
      <c r="E160" s="5"/>
      <c r="F160" s="6"/>
      <c r="G160" s="7">
        <f>IF(C160="","",IFERROR(VLOOKUP(C160,'Périodicités'!$A:$B,2,FALSE),""))</f>
      </c>
      <c r="H160" s="5"/>
      <c r="I160" s="8">
        <f>IF(OR(F160="",NOT(ISNUMBER(IF(H160&lt;&gt;"",H160,IFERROR(VLOOKUP(C160,'Périodicités'!$A:$C,3,FALSE),""))))),"",EDATE(F160,IF(H160&lt;&gt;"",H160,IFERROR(VLOOKUP(C160,'Périodicités'!$A:$C,3,FALSE),""))))</f>
      </c>
      <c r="J160" s="9">
        <f>IF(I160="","",I160-TODAY())</f>
      </c>
      <c r="K160" s="7">
        <f>IF(B160&amp;C160="","",IF(F160="","Date à saisir",IF(I160="","Périodicité à confirmer",IF(J160&lt;0,"En retard",IF(J160&lt;=30,"À planifier","À jour")))))</f>
      </c>
      <c r="L160" s="5"/>
      <c r="M160" s="5"/>
      <c r="N160" s="5"/>
      <c r="O160" s="10"/>
    </row>
    <row r="161" spans="1:15" x14ac:dyDescent="0.25">
      <c r="A161" s="5">
        <v>157</v>
      </c>
      <c r="B161" s="5"/>
      <c r="C161" s="5"/>
      <c r="D161" s="5"/>
      <c r="E161" s="5"/>
      <c r="F161" s="6"/>
      <c r="G161" s="7">
        <f>IF(C161="","",IFERROR(VLOOKUP(C161,'Périodicités'!$A:$B,2,FALSE),""))</f>
      </c>
      <c r="H161" s="5"/>
      <c r="I161" s="8">
        <f>IF(OR(F161="",NOT(ISNUMBER(IF(H161&lt;&gt;"",H161,IFERROR(VLOOKUP(C161,'Périodicités'!$A:$C,3,FALSE),""))))),"",EDATE(F161,IF(H161&lt;&gt;"",H161,IFERROR(VLOOKUP(C161,'Périodicités'!$A:$C,3,FALSE),""))))</f>
      </c>
      <c r="J161" s="9">
        <f>IF(I161="","",I161-TODAY())</f>
      </c>
      <c r="K161" s="7">
        <f>IF(B161&amp;C161="","",IF(F161="","Date à saisir",IF(I161="","Périodicité à confirmer",IF(J161&lt;0,"En retard",IF(J161&lt;=30,"À planifier","À jour")))))</f>
      </c>
      <c r="L161" s="5"/>
      <c r="M161" s="5"/>
      <c r="N161" s="5"/>
      <c r="O161" s="10"/>
    </row>
    <row r="162" spans="1:15" x14ac:dyDescent="0.25">
      <c r="A162" s="5">
        <v>158</v>
      </c>
      <c r="B162" s="5"/>
      <c r="C162" s="5"/>
      <c r="D162" s="5"/>
      <c r="E162" s="5"/>
      <c r="F162" s="6"/>
      <c r="G162" s="7">
        <f>IF(C162="","",IFERROR(VLOOKUP(C162,'Périodicités'!$A:$B,2,FALSE),""))</f>
      </c>
      <c r="H162" s="5"/>
      <c r="I162" s="8">
        <f>IF(OR(F162="",NOT(ISNUMBER(IF(H162&lt;&gt;"",H162,IFERROR(VLOOKUP(C162,'Périodicités'!$A:$C,3,FALSE),""))))),"",EDATE(F162,IF(H162&lt;&gt;"",H162,IFERROR(VLOOKUP(C162,'Périodicités'!$A:$C,3,FALSE),""))))</f>
      </c>
      <c r="J162" s="9">
        <f>IF(I162="","",I162-TODAY())</f>
      </c>
      <c r="K162" s="7">
        <f>IF(B162&amp;C162="","",IF(F162="","Date à saisir",IF(I162="","Périodicité à confirmer",IF(J162&lt;0,"En retard",IF(J162&lt;=30,"À planifier","À jour")))))</f>
      </c>
      <c r="L162" s="5"/>
      <c r="M162" s="5"/>
      <c r="N162" s="5"/>
      <c r="O162" s="10"/>
    </row>
    <row r="163" spans="1:15" x14ac:dyDescent="0.25">
      <c r="A163" s="5">
        <v>159</v>
      </c>
      <c r="B163" s="5"/>
      <c r="C163" s="5"/>
      <c r="D163" s="5"/>
      <c r="E163" s="5"/>
      <c r="F163" s="6"/>
      <c r="G163" s="7">
        <f>IF(C163="","",IFERROR(VLOOKUP(C163,'Périodicités'!$A:$B,2,FALSE),""))</f>
      </c>
      <c r="H163" s="5"/>
      <c r="I163" s="8">
        <f>IF(OR(F163="",NOT(ISNUMBER(IF(H163&lt;&gt;"",H163,IFERROR(VLOOKUP(C163,'Périodicités'!$A:$C,3,FALSE),""))))),"",EDATE(F163,IF(H163&lt;&gt;"",H163,IFERROR(VLOOKUP(C163,'Périodicités'!$A:$C,3,FALSE),""))))</f>
      </c>
      <c r="J163" s="9">
        <f>IF(I163="","",I163-TODAY())</f>
      </c>
      <c r="K163" s="7">
        <f>IF(B163&amp;C163="","",IF(F163="","Date à saisir",IF(I163="","Périodicité à confirmer",IF(J163&lt;0,"En retard",IF(J163&lt;=30,"À planifier","À jour")))))</f>
      </c>
      <c r="L163" s="5"/>
      <c r="M163" s="5"/>
      <c r="N163" s="5"/>
      <c r="O163" s="10"/>
    </row>
    <row r="164" spans="1:15" x14ac:dyDescent="0.25">
      <c r="A164" s="5">
        <v>160</v>
      </c>
      <c r="B164" s="5"/>
      <c r="C164" s="5"/>
      <c r="D164" s="5"/>
      <c r="E164" s="5"/>
      <c r="F164" s="6"/>
      <c r="G164" s="7">
        <f>IF(C164="","",IFERROR(VLOOKUP(C164,'Périodicités'!$A:$B,2,FALSE),""))</f>
      </c>
      <c r="H164" s="5"/>
      <c r="I164" s="8">
        <f>IF(OR(F164="",NOT(ISNUMBER(IF(H164&lt;&gt;"",H164,IFERROR(VLOOKUP(C164,'Périodicités'!$A:$C,3,FALSE),""))))),"",EDATE(F164,IF(H164&lt;&gt;"",H164,IFERROR(VLOOKUP(C164,'Périodicités'!$A:$C,3,FALSE),""))))</f>
      </c>
      <c r="J164" s="9">
        <f>IF(I164="","",I164-TODAY())</f>
      </c>
      <c r="K164" s="7">
        <f>IF(B164&amp;C164="","",IF(F164="","Date à saisir",IF(I164="","Périodicité à confirmer",IF(J164&lt;0,"En retard",IF(J164&lt;=30,"À planifier","À jour")))))</f>
      </c>
      <c r="L164" s="5"/>
      <c r="M164" s="5"/>
      <c r="N164" s="5"/>
      <c r="O164" s="10"/>
    </row>
    <row r="165" spans="1:15" x14ac:dyDescent="0.25">
      <c r="A165" s="5">
        <v>161</v>
      </c>
      <c r="B165" s="5"/>
      <c r="C165" s="5"/>
      <c r="D165" s="5"/>
      <c r="E165" s="5"/>
      <c r="F165" s="6"/>
      <c r="G165" s="7">
        <f>IF(C165="","",IFERROR(VLOOKUP(C165,'Périodicités'!$A:$B,2,FALSE),""))</f>
      </c>
      <c r="H165" s="5"/>
      <c r="I165" s="8">
        <f>IF(OR(F165="",NOT(ISNUMBER(IF(H165&lt;&gt;"",H165,IFERROR(VLOOKUP(C165,'Périodicités'!$A:$C,3,FALSE),""))))),"",EDATE(F165,IF(H165&lt;&gt;"",H165,IFERROR(VLOOKUP(C165,'Périodicités'!$A:$C,3,FALSE),""))))</f>
      </c>
      <c r="J165" s="9">
        <f>IF(I165="","",I165-TODAY())</f>
      </c>
      <c r="K165" s="7">
        <f>IF(B165&amp;C165="","",IF(F165="","Date à saisir",IF(I165="","Périodicité à confirmer",IF(J165&lt;0,"En retard",IF(J165&lt;=30,"À planifier","À jour")))))</f>
      </c>
      <c r="L165" s="5"/>
      <c r="M165" s="5"/>
      <c r="N165" s="5"/>
      <c r="O165" s="10"/>
    </row>
    <row r="166" spans="1:15" x14ac:dyDescent="0.25">
      <c r="A166" s="5">
        <v>162</v>
      </c>
      <c r="B166" s="5"/>
      <c r="C166" s="5"/>
      <c r="D166" s="5"/>
      <c r="E166" s="5"/>
      <c r="F166" s="6"/>
      <c r="G166" s="7">
        <f>IF(C166="","",IFERROR(VLOOKUP(C166,'Périodicités'!$A:$B,2,FALSE),""))</f>
      </c>
      <c r="H166" s="5"/>
      <c r="I166" s="8">
        <f>IF(OR(F166="",NOT(ISNUMBER(IF(H166&lt;&gt;"",H166,IFERROR(VLOOKUP(C166,'Périodicités'!$A:$C,3,FALSE),""))))),"",EDATE(F166,IF(H166&lt;&gt;"",H166,IFERROR(VLOOKUP(C166,'Périodicités'!$A:$C,3,FALSE),""))))</f>
      </c>
      <c r="J166" s="9">
        <f>IF(I166="","",I166-TODAY())</f>
      </c>
      <c r="K166" s="7">
        <f>IF(B166&amp;C166="","",IF(F166="","Date à saisir",IF(I166="","Périodicité à confirmer",IF(J166&lt;0,"En retard",IF(J166&lt;=30,"À planifier","À jour")))))</f>
      </c>
      <c r="L166" s="5"/>
      <c r="M166" s="5"/>
      <c r="N166" s="5"/>
      <c r="O166" s="10"/>
    </row>
    <row r="167" spans="1:15" x14ac:dyDescent="0.25">
      <c r="A167" s="5">
        <v>163</v>
      </c>
      <c r="B167" s="5"/>
      <c r="C167" s="5"/>
      <c r="D167" s="5"/>
      <c r="E167" s="5"/>
      <c r="F167" s="6"/>
      <c r="G167" s="7">
        <f>IF(C167="","",IFERROR(VLOOKUP(C167,'Périodicités'!$A:$B,2,FALSE),""))</f>
      </c>
      <c r="H167" s="5"/>
      <c r="I167" s="8">
        <f>IF(OR(F167="",NOT(ISNUMBER(IF(H167&lt;&gt;"",H167,IFERROR(VLOOKUP(C167,'Périodicités'!$A:$C,3,FALSE),""))))),"",EDATE(F167,IF(H167&lt;&gt;"",H167,IFERROR(VLOOKUP(C167,'Périodicités'!$A:$C,3,FALSE),""))))</f>
      </c>
      <c r="J167" s="9">
        <f>IF(I167="","",I167-TODAY())</f>
      </c>
      <c r="K167" s="7">
        <f>IF(B167&amp;C167="","",IF(F167="","Date à saisir",IF(I167="","Périodicité à confirmer",IF(J167&lt;0,"En retard",IF(J167&lt;=30,"À planifier","À jour")))))</f>
      </c>
      <c r="L167" s="5"/>
      <c r="M167" s="5"/>
      <c r="N167" s="5"/>
      <c r="O167" s="10"/>
    </row>
    <row r="168" spans="1:15" x14ac:dyDescent="0.25">
      <c r="A168" s="5">
        <v>164</v>
      </c>
      <c r="B168" s="5"/>
      <c r="C168" s="5"/>
      <c r="D168" s="5"/>
      <c r="E168" s="5"/>
      <c r="F168" s="6"/>
      <c r="G168" s="7">
        <f>IF(C168="","",IFERROR(VLOOKUP(C168,'Périodicités'!$A:$B,2,FALSE),""))</f>
      </c>
      <c r="H168" s="5"/>
      <c r="I168" s="8">
        <f>IF(OR(F168="",NOT(ISNUMBER(IF(H168&lt;&gt;"",H168,IFERROR(VLOOKUP(C168,'Périodicités'!$A:$C,3,FALSE),""))))),"",EDATE(F168,IF(H168&lt;&gt;"",H168,IFERROR(VLOOKUP(C168,'Périodicités'!$A:$C,3,FALSE),""))))</f>
      </c>
      <c r="J168" s="9">
        <f>IF(I168="","",I168-TODAY())</f>
      </c>
      <c r="K168" s="7">
        <f>IF(B168&amp;C168="","",IF(F168="","Date à saisir",IF(I168="","Périodicité à confirmer",IF(J168&lt;0,"En retard",IF(J168&lt;=30,"À planifier","À jour")))))</f>
      </c>
      <c r="L168" s="5"/>
      <c r="M168" s="5"/>
      <c r="N168" s="5"/>
      <c r="O168" s="10"/>
    </row>
    <row r="169" spans="1:15" x14ac:dyDescent="0.25">
      <c r="A169" s="5">
        <v>165</v>
      </c>
      <c r="B169" s="5"/>
      <c r="C169" s="5"/>
      <c r="D169" s="5"/>
      <c r="E169" s="5"/>
      <c r="F169" s="6"/>
      <c r="G169" s="7">
        <f>IF(C169="","",IFERROR(VLOOKUP(C169,'Périodicités'!$A:$B,2,FALSE),""))</f>
      </c>
      <c r="H169" s="5"/>
      <c r="I169" s="8">
        <f>IF(OR(F169="",NOT(ISNUMBER(IF(H169&lt;&gt;"",H169,IFERROR(VLOOKUP(C169,'Périodicités'!$A:$C,3,FALSE),""))))),"",EDATE(F169,IF(H169&lt;&gt;"",H169,IFERROR(VLOOKUP(C169,'Périodicités'!$A:$C,3,FALSE),""))))</f>
      </c>
      <c r="J169" s="9">
        <f>IF(I169="","",I169-TODAY())</f>
      </c>
      <c r="K169" s="7">
        <f>IF(B169&amp;C169="","",IF(F169="","Date à saisir",IF(I169="","Périodicité à confirmer",IF(J169&lt;0,"En retard",IF(J169&lt;=30,"À planifier","À jour")))))</f>
      </c>
      <c r="L169" s="5"/>
      <c r="M169" s="5"/>
      <c r="N169" s="5"/>
      <c r="O169" s="10"/>
    </row>
    <row r="170" spans="1:15" x14ac:dyDescent="0.25">
      <c r="A170" s="5">
        <v>166</v>
      </c>
      <c r="B170" s="5"/>
      <c r="C170" s="5"/>
      <c r="D170" s="5"/>
      <c r="E170" s="5"/>
      <c r="F170" s="6"/>
      <c r="G170" s="7">
        <f>IF(C170="","",IFERROR(VLOOKUP(C170,'Périodicités'!$A:$B,2,FALSE),""))</f>
      </c>
      <c r="H170" s="5"/>
      <c r="I170" s="8">
        <f>IF(OR(F170="",NOT(ISNUMBER(IF(H170&lt;&gt;"",H170,IFERROR(VLOOKUP(C170,'Périodicités'!$A:$C,3,FALSE),""))))),"",EDATE(F170,IF(H170&lt;&gt;"",H170,IFERROR(VLOOKUP(C170,'Périodicités'!$A:$C,3,FALSE),""))))</f>
      </c>
      <c r="J170" s="9">
        <f>IF(I170="","",I170-TODAY())</f>
      </c>
      <c r="K170" s="7">
        <f>IF(B170&amp;C170="","",IF(F170="","Date à saisir",IF(I170="","Périodicité à confirmer",IF(J170&lt;0,"En retard",IF(J170&lt;=30,"À planifier","À jour")))))</f>
      </c>
      <c r="L170" s="5"/>
      <c r="M170" s="5"/>
      <c r="N170" s="5"/>
      <c r="O170" s="10"/>
    </row>
    <row r="171" spans="1:15" x14ac:dyDescent="0.25">
      <c r="A171" s="5">
        <v>167</v>
      </c>
      <c r="B171" s="5"/>
      <c r="C171" s="5"/>
      <c r="D171" s="5"/>
      <c r="E171" s="5"/>
      <c r="F171" s="6"/>
      <c r="G171" s="7">
        <f>IF(C171="","",IFERROR(VLOOKUP(C171,'Périodicités'!$A:$B,2,FALSE),""))</f>
      </c>
      <c r="H171" s="5"/>
      <c r="I171" s="8">
        <f>IF(OR(F171="",NOT(ISNUMBER(IF(H171&lt;&gt;"",H171,IFERROR(VLOOKUP(C171,'Périodicités'!$A:$C,3,FALSE),""))))),"",EDATE(F171,IF(H171&lt;&gt;"",H171,IFERROR(VLOOKUP(C171,'Périodicités'!$A:$C,3,FALSE),""))))</f>
      </c>
      <c r="J171" s="9">
        <f>IF(I171="","",I171-TODAY())</f>
      </c>
      <c r="K171" s="7">
        <f>IF(B171&amp;C171="","",IF(F171="","Date à saisir",IF(I171="","Périodicité à confirmer",IF(J171&lt;0,"En retard",IF(J171&lt;=30,"À planifier","À jour")))))</f>
      </c>
      <c r="L171" s="5"/>
      <c r="M171" s="5"/>
      <c r="N171" s="5"/>
      <c r="O171" s="10"/>
    </row>
    <row r="172" spans="1:15" x14ac:dyDescent="0.25">
      <c r="A172" s="5">
        <v>168</v>
      </c>
      <c r="B172" s="5"/>
      <c r="C172" s="5"/>
      <c r="D172" s="5"/>
      <c r="E172" s="5"/>
      <c r="F172" s="6"/>
      <c r="G172" s="7">
        <f>IF(C172="","",IFERROR(VLOOKUP(C172,'Périodicités'!$A:$B,2,FALSE),""))</f>
      </c>
      <c r="H172" s="5"/>
      <c r="I172" s="8">
        <f>IF(OR(F172="",NOT(ISNUMBER(IF(H172&lt;&gt;"",H172,IFERROR(VLOOKUP(C172,'Périodicités'!$A:$C,3,FALSE),""))))),"",EDATE(F172,IF(H172&lt;&gt;"",H172,IFERROR(VLOOKUP(C172,'Périodicités'!$A:$C,3,FALSE),""))))</f>
      </c>
      <c r="J172" s="9">
        <f>IF(I172="","",I172-TODAY())</f>
      </c>
      <c r="K172" s="7">
        <f>IF(B172&amp;C172="","",IF(F172="","Date à saisir",IF(I172="","Périodicité à confirmer",IF(J172&lt;0,"En retard",IF(J172&lt;=30,"À planifier","À jour")))))</f>
      </c>
      <c r="L172" s="5"/>
      <c r="M172" s="5"/>
      <c r="N172" s="5"/>
      <c r="O172" s="10"/>
    </row>
    <row r="173" spans="1:15" x14ac:dyDescent="0.25">
      <c r="A173" s="5">
        <v>169</v>
      </c>
      <c r="B173" s="5"/>
      <c r="C173" s="5"/>
      <c r="D173" s="5"/>
      <c r="E173" s="5"/>
      <c r="F173" s="6"/>
      <c r="G173" s="7">
        <f>IF(C173="","",IFERROR(VLOOKUP(C173,'Périodicités'!$A:$B,2,FALSE),""))</f>
      </c>
      <c r="H173" s="5"/>
      <c r="I173" s="8">
        <f>IF(OR(F173="",NOT(ISNUMBER(IF(H173&lt;&gt;"",H173,IFERROR(VLOOKUP(C173,'Périodicités'!$A:$C,3,FALSE),""))))),"",EDATE(F173,IF(H173&lt;&gt;"",H173,IFERROR(VLOOKUP(C173,'Périodicités'!$A:$C,3,FALSE),""))))</f>
      </c>
      <c r="J173" s="9">
        <f>IF(I173="","",I173-TODAY())</f>
      </c>
      <c r="K173" s="7">
        <f>IF(B173&amp;C173="","",IF(F173="","Date à saisir",IF(I173="","Périodicité à confirmer",IF(J173&lt;0,"En retard",IF(J173&lt;=30,"À planifier","À jour")))))</f>
      </c>
      <c r="L173" s="5"/>
      <c r="M173" s="5"/>
      <c r="N173" s="5"/>
      <c r="O173" s="10"/>
    </row>
    <row r="174" spans="1:15" x14ac:dyDescent="0.25">
      <c r="A174" s="5">
        <v>170</v>
      </c>
      <c r="B174" s="5"/>
      <c r="C174" s="5"/>
      <c r="D174" s="5"/>
      <c r="E174" s="5"/>
      <c r="F174" s="6"/>
      <c r="G174" s="7">
        <f>IF(C174="","",IFERROR(VLOOKUP(C174,'Périodicités'!$A:$B,2,FALSE),""))</f>
      </c>
      <c r="H174" s="5"/>
      <c r="I174" s="8">
        <f>IF(OR(F174="",NOT(ISNUMBER(IF(H174&lt;&gt;"",H174,IFERROR(VLOOKUP(C174,'Périodicités'!$A:$C,3,FALSE),""))))),"",EDATE(F174,IF(H174&lt;&gt;"",H174,IFERROR(VLOOKUP(C174,'Périodicités'!$A:$C,3,FALSE),""))))</f>
      </c>
      <c r="J174" s="9">
        <f>IF(I174="","",I174-TODAY())</f>
      </c>
      <c r="K174" s="7">
        <f>IF(B174&amp;C174="","",IF(F174="","Date à saisir",IF(I174="","Périodicité à confirmer",IF(J174&lt;0,"En retard",IF(J174&lt;=30,"À planifier","À jour")))))</f>
      </c>
      <c r="L174" s="5"/>
      <c r="M174" s="5"/>
      <c r="N174" s="5"/>
      <c r="O174" s="10"/>
    </row>
    <row r="175" spans="1:15" x14ac:dyDescent="0.25">
      <c r="A175" s="5">
        <v>171</v>
      </c>
      <c r="B175" s="5"/>
      <c r="C175" s="5"/>
      <c r="D175" s="5"/>
      <c r="E175" s="5"/>
      <c r="F175" s="6"/>
      <c r="G175" s="7">
        <f>IF(C175="","",IFERROR(VLOOKUP(C175,'Périodicités'!$A:$B,2,FALSE),""))</f>
      </c>
      <c r="H175" s="5"/>
      <c r="I175" s="8">
        <f>IF(OR(F175="",NOT(ISNUMBER(IF(H175&lt;&gt;"",H175,IFERROR(VLOOKUP(C175,'Périodicités'!$A:$C,3,FALSE),""))))),"",EDATE(F175,IF(H175&lt;&gt;"",H175,IFERROR(VLOOKUP(C175,'Périodicités'!$A:$C,3,FALSE),""))))</f>
      </c>
      <c r="J175" s="9">
        <f>IF(I175="","",I175-TODAY())</f>
      </c>
      <c r="K175" s="7">
        <f>IF(B175&amp;C175="","",IF(F175="","Date à saisir",IF(I175="","Périodicité à confirmer",IF(J175&lt;0,"En retard",IF(J175&lt;=30,"À planifier","À jour")))))</f>
      </c>
      <c r="L175" s="5"/>
      <c r="M175" s="5"/>
      <c r="N175" s="5"/>
      <c r="O175" s="10"/>
    </row>
    <row r="176" spans="1:15" x14ac:dyDescent="0.25">
      <c r="A176" s="5">
        <v>172</v>
      </c>
      <c r="B176" s="5"/>
      <c r="C176" s="5"/>
      <c r="D176" s="5"/>
      <c r="E176" s="5"/>
      <c r="F176" s="6"/>
      <c r="G176" s="7">
        <f>IF(C176="","",IFERROR(VLOOKUP(C176,'Périodicités'!$A:$B,2,FALSE),""))</f>
      </c>
      <c r="H176" s="5"/>
      <c r="I176" s="8">
        <f>IF(OR(F176="",NOT(ISNUMBER(IF(H176&lt;&gt;"",H176,IFERROR(VLOOKUP(C176,'Périodicités'!$A:$C,3,FALSE),""))))),"",EDATE(F176,IF(H176&lt;&gt;"",H176,IFERROR(VLOOKUP(C176,'Périodicités'!$A:$C,3,FALSE),""))))</f>
      </c>
      <c r="J176" s="9">
        <f>IF(I176="","",I176-TODAY())</f>
      </c>
      <c r="K176" s="7">
        <f>IF(B176&amp;C176="","",IF(F176="","Date à saisir",IF(I176="","Périodicité à confirmer",IF(J176&lt;0,"En retard",IF(J176&lt;=30,"À planifier","À jour")))))</f>
      </c>
      <c r="L176" s="5"/>
      <c r="M176" s="5"/>
      <c r="N176" s="5"/>
      <c r="O176" s="10"/>
    </row>
    <row r="177" spans="1:15" x14ac:dyDescent="0.25">
      <c r="A177" s="5">
        <v>173</v>
      </c>
      <c r="B177" s="5"/>
      <c r="C177" s="5"/>
      <c r="D177" s="5"/>
      <c r="E177" s="5"/>
      <c r="F177" s="6"/>
      <c r="G177" s="7">
        <f>IF(C177="","",IFERROR(VLOOKUP(C177,'Périodicités'!$A:$B,2,FALSE),""))</f>
      </c>
      <c r="H177" s="5"/>
      <c r="I177" s="8">
        <f>IF(OR(F177="",NOT(ISNUMBER(IF(H177&lt;&gt;"",H177,IFERROR(VLOOKUP(C177,'Périodicités'!$A:$C,3,FALSE),""))))),"",EDATE(F177,IF(H177&lt;&gt;"",H177,IFERROR(VLOOKUP(C177,'Périodicités'!$A:$C,3,FALSE),""))))</f>
      </c>
      <c r="J177" s="9">
        <f>IF(I177="","",I177-TODAY())</f>
      </c>
      <c r="K177" s="7">
        <f>IF(B177&amp;C177="","",IF(F177="","Date à saisir",IF(I177="","Périodicité à confirmer",IF(J177&lt;0,"En retard",IF(J177&lt;=30,"À planifier","À jour")))))</f>
      </c>
      <c r="L177" s="5"/>
      <c r="M177" s="5"/>
      <c r="N177" s="5"/>
      <c r="O177" s="10"/>
    </row>
    <row r="178" spans="1:15" x14ac:dyDescent="0.25">
      <c r="A178" s="5">
        <v>174</v>
      </c>
      <c r="B178" s="5"/>
      <c r="C178" s="5"/>
      <c r="D178" s="5"/>
      <c r="E178" s="5"/>
      <c r="F178" s="6"/>
      <c r="G178" s="7">
        <f>IF(C178="","",IFERROR(VLOOKUP(C178,'Périodicités'!$A:$B,2,FALSE),""))</f>
      </c>
      <c r="H178" s="5"/>
      <c r="I178" s="8">
        <f>IF(OR(F178="",NOT(ISNUMBER(IF(H178&lt;&gt;"",H178,IFERROR(VLOOKUP(C178,'Périodicités'!$A:$C,3,FALSE),""))))),"",EDATE(F178,IF(H178&lt;&gt;"",H178,IFERROR(VLOOKUP(C178,'Périodicités'!$A:$C,3,FALSE),""))))</f>
      </c>
      <c r="J178" s="9">
        <f>IF(I178="","",I178-TODAY())</f>
      </c>
      <c r="K178" s="7">
        <f>IF(B178&amp;C178="","",IF(F178="","Date à saisir",IF(I178="","Périodicité à confirmer",IF(J178&lt;0,"En retard",IF(J178&lt;=30,"À planifier","À jour")))))</f>
      </c>
      <c r="L178" s="5"/>
      <c r="M178" s="5"/>
      <c r="N178" s="5"/>
      <c r="O178" s="10"/>
    </row>
    <row r="179" spans="1:15" x14ac:dyDescent="0.25">
      <c r="A179" s="5">
        <v>175</v>
      </c>
      <c r="B179" s="5"/>
      <c r="C179" s="5"/>
      <c r="D179" s="5"/>
      <c r="E179" s="5"/>
      <c r="F179" s="6"/>
      <c r="G179" s="7">
        <f>IF(C179="","",IFERROR(VLOOKUP(C179,'Périodicités'!$A:$B,2,FALSE),""))</f>
      </c>
      <c r="H179" s="5"/>
      <c r="I179" s="8">
        <f>IF(OR(F179="",NOT(ISNUMBER(IF(H179&lt;&gt;"",H179,IFERROR(VLOOKUP(C179,'Périodicités'!$A:$C,3,FALSE),""))))),"",EDATE(F179,IF(H179&lt;&gt;"",H179,IFERROR(VLOOKUP(C179,'Périodicités'!$A:$C,3,FALSE),""))))</f>
      </c>
      <c r="J179" s="9">
        <f>IF(I179="","",I179-TODAY())</f>
      </c>
      <c r="K179" s="7">
        <f>IF(B179&amp;C179="","",IF(F179="","Date à saisir",IF(I179="","Périodicité à confirmer",IF(J179&lt;0,"En retard",IF(J179&lt;=30,"À planifier","À jour")))))</f>
      </c>
      <c r="L179" s="5"/>
      <c r="M179" s="5"/>
      <c r="N179" s="5"/>
      <c r="O179" s="10"/>
    </row>
    <row r="180" spans="1:15" x14ac:dyDescent="0.25">
      <c r="A180" s="5">
        <v>176</v>
      </c>
      <c r="B180" s="5"/>
      <c r="C180" s="5"/>
      <c r="D180" s="5"/>
      <c r="E180" s="5"/>
      <c r="F180" s="6"/>
      <c r="G180" s="7">
        <f>IF(C180="","",IFERROR(VLOOKUP(C180,'Périodicités'!$A:$B,2,FALSE),""))</f>
      </c>
      <c r="H180" s="5"/>
      <c r="I180" s="8">
        <f>IF(OR(F180="",NOT(ISNUMBER(IF(H180&lt;&gt;"",H180,IFERROR(VLOOKUP(C180,'Périodicités'!$A:$C,3,FALSE),""))))),"",EDATE(F180,IF(H180&lt;&gt;"",H180,IFERROR(VLOOKUP(C180,'Périodicités'!$A:$C,3,FALSE),""))))</f>
      </c>
      <c r="J180" s="9">
        <f>IF(I180="","",I180-TODAY())</f>
      </c>
      <c r="K180" s="7">
        <f>IF(B180&amp;C180="","",IF(F180="","Date à saisir",IF(I180="","Périodicité à confirmer",IF(J180&lt;0,"En retard",IF(J180&lt;=30,"À planifier","À jour")))))</f>
      </c>
      <c r="L180" s="5"/>
      <c r="M180" s="5"/>
      <c r="N180" s="5"/>
      <c r="O180" s="10"/>
    </row>
    <row r="181" spans="1:15" x14ac:dyDescent="0.25">
      <c r="A181" s="5">
        <v>177</v>
      </c>
      <c r="B181" s="5"/>
      <c r="C181" s="5"/>
      <c r="D181" s="5"/>
      <c r="E181" s="5"/>
      <c r="F181" s="6"/>
      <c r="G181" s="7">
        <f>IF(C181="","",IFERROR(VLOOKUP(C181,'Périodicités'!$A:$B,2,FALSE),""))</f>
      </c>
      <c r="H181" s="5"/>
      <c r="I181" s="8">
        <f>IF(OR(F181="",NOT(ISNUMBER(IF(H181&lt;&gt;"",H181,IFERROR(VLOOKUP(C181,'Périodicités'!$A:$C,3,FALSE),""))))),"",EDATE(F181,IF(H181&lt;&gt;"",H181,IFERROR(VLOOKUP(C181,'Périodicités'!$A:$C,3,FALSE),""))))</f>
      </c>
      <c r="J181" s="9">
        <f>IF(I181="","",I181-TODAY())</f>
      </c>
      <c r="K181" s="7">
        <f>IF(B181&amp;C181="","",IF(F181="","Date à saisir",IF(I181="","Périodicité à confirmer",IF(J181&lt;0,"En retard",IF(J181&lt;=30,"À planifier","À jour")))))</f>
      </c>
      <c r="L181" s="5"/>
      <c r="M181" s="5"/>
      <c r="N181" s="5"/>
      <c r="O181" s="10"/>
    </row>
    <row r="182" spans="1:15" x14ac:dyDescent="0.25">
      <c r="A182" s="5">
        <v>178</v>
      </c>
      <c r="B182" s="5"/>
      <c r="C182" s="5"/>
      <c r="D182" s="5"/>
      <c r="E182" s="5"/>
      <c r="F182" s="6"/>
      <c r="G182" s="7">
        <f>IF(C182="","",IFERROR(VLOOKUP(C182,'Périodicités'!$A:$B,2,FALSE),""))</f>
      </c>
      <c r="H182" s="5"/>
      <c r="I182" s="8">
        <f>IF(OR(F182="",NOT(ISNUMBER(IF(H182&lt;&gt;"",H182,IFERROR(VLOOKUP(C182,'Périodicités'!$A:$C,3,FALSE),""))))),"",EDATE(F182,IF(H182&lt;&gt;"",H182,IFERROR(VLOOKUP(C182,'Périodicités'!$A:$C,3,FALSE),""))))</f>
      </c>
      <c r="J182" s="9">
        <f>IF(I182="","",I182-TODAY())</f>
      </c>
      <c r="K182" s="7">
        <f>IF(B182&amp;C182="","",IF(F182="","Date à saisir",IF(I182="","Périodicité à confirmer",IF(J182&lt;0,"En retard",IF(J182&lt;=30,"À planifier","À jour")))))</f>
      </c>
      <c r="L182" s="5"/>
      <c r="M182" s="5"/>
      <c r="N182" s="5"/>
      <c r="O182" s="10"/>
    </row>
    <row r="183" spans="1:15" x14ac:dyDescent="0.25">
      <c r="A183" s="5">
        <v>179</v>
      </c>
      <c r="B183" s="5"/>
      <c r="C183" s="5"/>
      <c r="D183" s="5"/>
      <c r="E183" s="5"/>
      <c r="F183" s="6"/>
      <c r="G183" s="7">
        <f>IF(C183="","",IFERROR(VLOOKUP(C183,'Périodicités'!$A:$B,2,FALSE),""))</f>
      </c>
      <c r="H183" s="5"/>
      <c r="I183" s="8">
        <f>IF(OR(F183="",NOT(ISNUMBER(IF(H183&lt;&gt;"",H183,IFERROR(VLOOKUP(C183,'Périodicités'!$A:$C,3,FALSE),""))))),"",EDATE(F183,IF(H183&lt;&gt;"",H183,IFERROR(VLOOKUP(C183,'Périodicités'!$A:$C,3,FALSE),""))))</f>
      </c>
      <c r="J183" s="9">
        <f>IF(I183="","",I183-TODAY())</f>
      </c>
      <c r="K183" s="7">
        <f>IF(B183&amp;C183="","",IF(F183="","Date à saisir",IF(I183="","Périodicité à confirmer",IF(J183&lt;0,"En retard",IF(J183&lt;=30,"À planifier","À jour")))))</f>
      </c>
      <c r="L183" s="5"/>
      <c r="M183" s="5"/>
      <c r="N183" s="5"/>
      <c r="O183" s="10"/>
    </row>
    <row r="184" spans="1:15" x14ac:dyDescent="0.25">
      <c r="A184" s="5">
        <v>180</v>
      </c>
      <c r="B184" s="5"/>
      <c r="C184" s="5"/>
      <c r="D184" s="5"/>
      <c r="E184" s="5"/>
      <c r="F184" s="6"/>
      <c r="G184" s="7">
        <f>IF(C184="","",IFERROR(VLOOKUP(C184,'Périodicités'!$A:$B,2,FALSE),""))</f>
      </c>
      <c r="H184" s="5"/>
      <c r="I184" s="8">
        <f>IF(OR(F184="",NOT(ISNUMBER(IF(H184&lt;&gt;"",H184,IFERROR(VLOOKUP(C184,'Périodicités'!$A:$C,3,FALSE),""))))),"",EDATE(F184,IF(H184&lt;&gt;"",H184,IFERROR(VLOOKUP(C184,'Périodicités'!$A:$C,3,FALSE),""))))</f>
      </c>
      <c r="J184" s="9">
        <f>IF(I184="","",I184-TODAY())</f>
      </c>
      <c r="K184" s="7">
        <f>IF(B184&amp;C184="","",IF(F184="","Date à saisir",IF(I184="","Périodicité à confirmer",IF(J184&lt;0,"En retard",IF(J184&lt;=30,"À planifier","À jour")))))</f>
      </c>
      <c r="L184" s="5"/>
      <c r="M184" s="5"/>
      <c r="N184" s="5"/>
      <c r="O184" s="10"/>
    </row>
    <row r="185" spans="1:15" x14ac:dyDescent="0.25">
      <c r="A185" s="5">
        <v>181</v>
      </c>
      <c r="B185" s="5"/>
      <c r="C185" s="5"/>
      <c r="D185" s="5"/>
      <c r="E185" s="5"/>
      <c r="F185" s="6"/>
      <c r="G185" s="7">
        <f>IF(C185="","",IFERROR(VLOOKUP(C185,'Périodicités'!$A:$B,2,FALSE),""))</f>
      </c>
      <c r="H185" s="5"/>
      <c r="I185" s="8">
        <f>IF(OR(F185="",NOT(ISNUMBER(IF(H185&lt;&gt;"",H185,IFERROR(VLOOKUP(C185,'Périodicités'!$A:$C,3,FALSE),""))))),"",EDATE(F185,IF(H185&lt;&gt;"",H185,IFERROR(VLOOKUP(C185,'Périodicités'!$A:$C,3,FALSE),""))))</f>
      </c>
      <c r="J185" s="9">
        <f>IF(I185="","",I185-TODAY())</f>
      </c>
      <c r="K185" s="7">
        <f>IF(B185&amp;C185="","",IF(F185="","Date à saisir",IF(I185="","Périodicité à confirmer",IF(J185&lt;0,"En retard",IF(J185&lt;=30,"À planifier","À jour")))))</f>
      </c>
      <c r="L185" s="5"/>
      <c r="M185" s="5"/>
      <c r="N185" s="5"/>
      <c r="O185" s="10"/>
    </row>
    <row r="186" spans="1:15" x14ac:dyDescent="0.25">
      <c r="A186" s="5">
        <v>182</v>
      </c>
      <c r="B186" s="5"/>
      <c r="C186" s="5"/>
      <c r="D186" s="5"/>
      <c r="E186" s="5"/>
      <c r="F186" s="6"/>
      <c r="G186" s="7">
        <f>IF(C186="","",IFERROR(VLOOKUP(C186,'Périodicités'!$A:$B,2,FALSE),""))</f>
      </c>
      <c r="H186" s="5"/>
      <c r="I186" s="8">
        <f>IF(OR(F186="",NOT(ISNUMBER(IF(H186&lt;&gt;"",H186,IFERROR(VLOOKUP(C186,'Périodicités'!$A:$C,3,FALSE),""))))),"",EDATE(F186,IF(H186&lt;&gt;"",H186,IFERROR(VLOOKUP(C186,'Périodicités'!$A:$C,3,FALSE),""))))</f>
      </c>
      <c r="J186" s="9">
        <f>IF(I186="","",I186-TODAY())</f>
      </c>
      <c r="K186" s="7">
        <f>IF(B186&amp;C186="","",IF(F186="","Date à saisir",IF(I186="","Périodicité à confirmer",IF(J186&lt;0,"En retard",IF(J186&lt;=30,"À planifier","À jour")))))</f>
      </c>
      <c r="L186" s="5"/>
      <c r="M186" s="5"/>
      <c r="N186" s="5"/>
      <c r="O186" s="10"/>
    </row>
    <row r="187" spans="1:15" x14ac:dyDescent="0.25">
      <c r="A187" s="5">
        <v>183</v>
      </c>
      <c r="B187" s="5"/>
      <c r="C187" s="5"/>
      <c r="D187" s="5"/>
      <c r="E187" s="5"/>
      <c r="F187" s="6"/>
      <c r="G187" s="7">
        <f>IF(C187="","",IFERROR(VLOOKUP(C187,'Périodicités'!$A:$B,2,FALSE),""))</f>
      </c>
      <c r="H187" s="5"/>
      <c r="I187" s="8">
        <f>IF(OR(F187="",NOT(ISNUMBER(IF(H187&lt;&gt;"",H187,IFERROR(VLOOKUP(C187,'Périodicités'!$A:$C,3,FALSE),""))))),"",EDATE(F187,IF(H187&lt;&gt;"",H187,IFERROR(VLOOKUP(C187,'Périodicités'!$A:$C,3,FALSE),""))))</f>
      </c>
      <c r="J187" s="9">
        <f>IF(I187="","",I187-TODAY())</f>
      </c>
      <c r="K187" s="7">
        <f>IF(B187&amp;C187="","",IF(F187="","Date à saisir",IF(I187="","Périodicité à confirmer",IF(J187&lt;0,"En retard",IF(J187&lt;=30,"À planifier","À jour")))))</f>
      </c>
      <c r="L187" s="5"/>
      <c r="M187" s="5"/>
      <c r="N187" s="5"/>
      <c r="O187" s="10"/>
    </row>
    <row r="188" spans="1:15" x14ac:dyDescent="0.25">
      <c r="A188" s="5">
        <v>184</v>
      </c>
      <c r="B188" s="5"/>
      <c r="C188" s="5"/>
      <c r="D188" s="5"/>
      <c r="E188" s="5"/>
      <c r="F188" s="6"/>
      <c r="G188" s="7">
        <f>IF(C188="","",IFERROR(VLOOKUP(C188,'Périodicités'!$A:$B,2,FALSE),""))</f>
      </c>
      <c r="H188" s="5"/>
      <c r="I188" s="8">
        <f>IF(OR(F188="",NOT(ISNUMBER(IF(H188&lt;&gt;"",H188,IFERROR(VLOOKUP(C188,'Périodicités'!$A:$C,3,FALSE),""))))),"",EDATE(F188,IF(H188&lt;&gt;"",H188,IFERROR(VLOOKUP(C188,'Périodicités'!$A:$C,3,FALSE),""))))</f>
      </c>
      <c r="J188" s="9">
        <f>IF(I188="","",I188-TODAY())</f>
      </c>
      <c r="K188" s="7">
        <f>IF(B188&amp;C188="","",IF(F188="","Date à saisir",IF(I188="","Périodicité à confirmer",IF(J188&lt;0,"En retard",IF(J188&lt;=30,"À planifier","À jour")))))</f>
      </c>
      <c r="L188" s="5"/>
      <c r="M188" s="5"/>
      <c r="N188" s="5"/>
      <c r="O188" s="10"/>
    </row>
    <row r="189" spans="1:15" x14ac:dyDescent="0.25">
      <c r="A189" s="5">
        <v>185</v>
      </c>
      <c r="B189" s="5"/>
      <c r="C189" s="5"/>
      <c r="D189" s="5"/>
      <c r="E189" s="5"/>
      <c r="F189" s="6"/>
      <c r="G189" s="7">
        <f>IF(C189="","",IFERROR(VLOOKUP(C189,'Périodicités'!$A:$B,2,FALSE),""))</f>
      </c>
      <c r="H189" s="5"/>
      <c r="I189" s="8">
        <f>IF(OR(F189="",NOT(ISNUMBER(IF(H189&lt;&gt;"",H189,IFERROR(VLOOKUP(C189,'Périodicités'!$A:$C,3,FALSE),""))))),"",EDATE(F189,IF(H189&lt;&gt;"",H189,IFERROR(VLOOKUP(C189,'Périodicités'!$A:$C,3,FALSE),""))))</f>
      </c>
      <c r="J189" s="9">
        <f>IF(I189="","",I189-TODAY())</f>
      </c>
      <c r="K189" s="7">
        <f>IF(B189&amp;C189="","",IF(F189="","Date à saisir",IF(I189="","Périodicité à confirmer",IF(J189&lt;0,"En retard",IF(J189&lt;=30,"À planifier","À jour")))))</f>
      </c>
      <c r="L189" s="5"/>
      <c r="M189" s="5"/>
      <c r="N189" s="5"/>
      <c r="O189" s="10"/>
    </row>
    <row r="190" spans="1:15" x14ac:dyDescent="0.25">
      <c r="A190" s="5">
        <v>186</v>
      </c>
      <c r="B190" s="5"/>
      <c r="C190" s="5"/>
      <c r="D190" s="5"/>
      <c r="E190" s="5"/>
      <c r="F190" s="6"/>
      <c r="G190" s="7">
        <f>IF(C190="","",IFERROR(VLOOKUP(C190,'Périodicités'!$A:$B,2,FALSE),""))</f>
      </c>
      <c r="H190" s="5"/>
      <c r="I190" s="8">
        <f>IF(OR(F190="",NOT(ISNUMBER(IF(H190&lt;&gt;"",H190,IFERROR(VLOOKUP(C190,'Périodicités'!$A:$C,3,FALSE),""))))),"",EDATE(F190,IF(H190&lt;&gt;"",H190,IFERROR(VLOOKUP(C190,'Périodicités'!$A:$C,3,FALSE),""))))</f>
      </c>
      <c r="J190" s="9">
        <f>IF(I190="","",I190-TODAY())</f>
      </c>
      <c r="K190" s="7">
        <f>IF(B190&amp;C190="","",IF(F190="","Date à saisir",IF(I190="","Périodicité à confirmer",IF(J190&lt;0,"En retard",IF(J190&lt;=30,"À planifier","À jour")))))</f>
      </c>
      <c r="L190" s="5"/>
      <c r="M190" s="5"/>
      <c r="N190" s="5"/>
      <c r="O190" s="10"/>
    </row>
    <row r="191" spans="1:15" x14ac:dyDescent="0.25">
      <c r="A191" s="5">
        <v>187</v>
      </c>
      <c r="B191" s="5"/>
      <c r="C191" s="5"/>
      <c r="D191" s="5"/>
      <c r="E191" s="5"/>
      <c r="F191" s="6"/>
      <c r="G191" s="7">
        <f>IF(C191="","",IFERROR(VLOOKUP(C191,'Périodicités'!$A:$B,2,FALSE),""))</f>
      </c>
      <c r="H191" s="5"/>
      <c r="I191" s="8">
        <f>IF(OR(F191="",NOT(ISNUMBER(IF(H191&lt;&gt;"",H191,IFERROR(VLOOKUP(C191,'Périodicités'!$A:$C,3,FALSE),""))))),"",EDATE(F191,IF(H191&lt;&gt;"",H191,IFERROR(VLOOKUP(C191,'Périodicités'!$A:$C,3,FALSE),""))))</f>
      </c>
      <c r="J191" s="9">
        <f>IF(I191="","",I191-TODAY())</f>
      </c>
      <c r="K191" s="7">
        <f>IF(B191&amp;C191="","",IF(F191="","Date à saisir",IF(I191="","Périodicité à confirmer",IF(J191&lt;0,"En retard",IF(J191&lt;=30,"À planifier","À jour")))))</f>
      </c>
      <c r="L191" s="5"/>
      <c r="M191" s="5"/>
      <c r="N191" s="5"/>
      <c r="O191" s="10"/>
    </row>
    <row r="192" spans="1:15" x14ac:dyDescent="0.25">
      <c r="A192" s="5">
        <v>188</v>
      </c>
      <c r="B192" s="5"/>
      <c r="C192" s="5"/>
      <c r="D192" s="5"/>
      <c r="E192" s="5"/>
      <c r="F192" s="6"/>
      <c r="G192" s="7">
        <f>IF(C192="","",IFERROR(VLOOKUP(C192,'Périodicités'!$A:$B,2,FALSE),""))</f>
      </c>
      <c r="H192" s="5"/>
      <c r="I192" s="8">
        <f>IF(OR(F192="",NOT(ISNUMBER(IF(H192&lt;&gt;"",H192,IFERROR(VLOOKUP(C192,'Périodicités'!$A:$C,3,FALSE),""))))),"",EDATE(F192,IF(H192&lt;&gt;"",H192,IFERROR(VLOOKUP(C192,'Périodicités'!$A:$C,3,FALSE),""))))</f>
      </c>
      <c r="J192" s="9">
        <f>IF(I192="","",I192-TODAY())</f>
      </c>
      <c r="K192" s="7">
        <f>IF(B192&amp;C192="","",IF(F192="","Date à saisir",IF(I192="","Périodicité à confirmer",IF(J192&lt;0,"En retard",IF(J192&lt;=30,"À planifier","À jour")))))</f>
      </c>
      <c r="L192" s="5"/>
      <c r="M192" s="5"/>
      <c r="N192" s="5"/>
      <c r="O192" s="10"/>
    </row>
    <row r="193" spans="1:15" x14ac:dyDescent="0.25">
      <c r="A193" s="5">
        <v>189</v>
      </c>
      <c r="B193" s="5"/>
      <c r="C193" s="5"/>
      <c r="D193" s="5"/>
      <c r="E193" s="5"/>
      <c r="F193" s="6"/>
      <c r="G193" s="7">
        <f>IF(C193="","",IFERROR(VLOOKUP(C193,'Périodicités'!$A:$B,2,FALSE),""))</f>
      </c>
      <c r="H193" s="5"/>
      <c r="I193" s="8">
        <f>IF(OR(F193="",NOT(ISNUMBER(IF(H193&lt;&gt;"",H193,IFERROR(VLOOKUP(C193,'Périodicités'!$A:$C,3,FALSE),""))))),"",EDATE(F193,IF(H193&lt;&gt;"",H193,IFERROR(VLOOKUP(C193,'Périodicités'!$A:$C,3,FALSE),""))))</f>
      </c>
      <c r="J193" s="9">
        <f>IF(I193="","",I193-TODAY())</f>
      </c>
      <c r="K193" s="7">
        <f>IF(B193&amp;C193="","",IF(F193="","Date à saisir",IF(I193="","Périodicité à confirmer",IF(J193&lt;0,"En retard",IF(J193&lt;=30,"À planifier","À jour")))))</f>
      </c>
      <c r="L193" s="5"/>
      <c r="M193" s="5"/>
      <c r="N193" s="5"/>
      <c r="O193" s="10"/>
    </row>
    <row r="194" spans="1:15" x14ac:dyDescent="0.25">
      <c r="A194" s="5">
        <v>190</v>
      </c>
      <c r="B194" s="5"/>
      <c r="C194" s="5"/>
      <c r="D194" s="5"/>
      <c r="E194" s="5"/>
      <c r="F194" s="6"/>
      <c r="G194" s="7">
        <f>IF(C194="","",IFERROR(VLOOKUP(C194,'Périodicités'!$A:$B,2,FALSE),""))</f>
      </c>
      <c r="H194" s="5"/>
      <c r="I194" s="8">
        <f>IF(OR(F194="",NOT(ISNUMBER(IF(H194&lt;&gt;"",H194,IFERROR(VLOOKUP(C194,'Périodicités'!$A:$C,3,FALSE),""))))),"",EDATE(F194,IF(H194&lt;&gt;"",H194,IFERROR(VLOOKUP(C194,'Périodicités'!$A:$C,3,FALSE),""))))</f>
      </c>
      <c r="J194" s="9">
        <f>IF(I194="","",I194-TODAY())</f>
      </c>
      <c r="K194" s="7">
        <f>IF(B194&amp;C194="","",IF(F194="","Date à saisir",IF(I194="","Périodicité à confirmer",IF(J194&lt;0,"En retard",IF(J194&lt;=30,"À planifier","À jour")))))</f>
      </c>
      <c r="L194" s="5"/>
      <c r="M194" s="5"/>
      <c r="N194" s="5"/>
      <c r="O194" s="10"/>
    </row>
    <row r="195" spans="1:15" x14ac:dyDescent="0.25">
      <c r="A195" s="5">
        <v>191</v>
      </c>
      <c r="B195" s="5"/>
      <c r="C195" s="5"/>
      <c r="D195" s="5"/>
      <c r="E195" s="5"/>
      <c r="F195" s="6"/>
      <c r="G195" s="7">
        <f>IF(C195="","",IFERROR(VLOOKUP(C195,'Périodicités'!$A:$B,2,FALSE),""))</f>
      </c>
      <c r="H195" s="5"/>
      <c r="I195" s="8">
        <f>IF(OR(F195="",NOT(ISNUMBER(IF(H195&lt;&gt;"",H195,IFERROR(VLOOKUP(C195,'Périodicités'!$A:$C,3,FALSE),""))))),"",EDATE(F195,IF(H195&lt;&gt;"",H195,IFERROR(VLOOKUP(C195,'Périodicités'!$A:$C,3,FALSE),""))))</f>
      </c>
      <c r="J195" s="9">
        <f>IF(I195="","",I195-TODAY())</f>
      </c>
      <c r="K195" s="7">
        <f>IF(B195&amp;C195="","",IF(F195="","Date à saisir",IF(I195="","Périodicité à confirmer",IF(J195&lt;0,"En retard",IF(J195&lt;=30,"À planifier","À jour")))))</f>
      </c>
      <c r="L195" s="5"/>
      <c r="M195" s="5"/>
      <c r="N195" s="5"/>
      <c r="O195" s="10"/>
    </row>
    <row r="196" spans="1:15" x14ac:dyDescent="0.25">
      <c r="A196" s="5">
        <v>192</v>
      </c>
      <c r="B196" s="5"/>
      <c r="C196" s="5"/>
      <c r="D196" s="5"/>
      <c r="E196" s="5"/>
      <c r="F196" s="6"/>
      <c r="G196" s="7">
        <f>IF(C196="","",IFERROR(VLOOKUP(C196,'Périodicités'!$A:$B,2,FALSE),""))</f>
      </c>
      <c r="H196" s="5"/>
      <c r="I196" s="8">
        <f>IF(OR(F196="",NOT(ISNUMBER(IF(H196&lt;&gt;"",H196,IFERROR(VLOOKUP(C196,'Périodicités'!$A:$C,3,FALSE),""))))),"",EDATE(F196,IF(H196&lt;&gt;"",H196,IFERROR(VLOOKUP(C196,'Périodicités'!$A:$C,3,FALSE),""))))</f>
      </c>
      <c r="J196" s="9">
        <f>IF(I196="","",I196-TODAY())</f>
      </c>
      <c r="K196" s="7">
        <f>IF(B196&amp;C196="","",IF(F196="","Date à saisir",IF(I196="","Périodicité à confirmer",IF(J196&lt;0,"En retard",IF(J196&lt;=30,"À planifier","À jour")))))</f>
      </c>
      <c r="L196" s="5"/>
      <c r="M196" s="5"/>
      <c r="N196" s="5"/>
      <c r="O196" s="10"/>
    </row>
    <row r="197" spans="1:15" x14ac:dyDescent="0.25">
      <c r="A197" s="5">
        <v>193</v>
      </c>
      <c r="B197" s="5"/>
      <c r="C197" s="5"/>
      <c r="D197" s="5"/>
      <c r="E197" s="5"/>
      <c r="F197" s="6"/>
      <c r="G197" s="7">
        <f>IF(C197="","",IFERROR(VLOOKUP(C197,'Périodicités'!$A:$B,2,FALSE),""))</f>
      </c>
      <c r="H197" s="5"/>
      <c r="I197" s="8">
        <f>IF(OR(F197="",NOT(ISNUMBER(IF(H197&lt;&gt;"",H197,IFERROR(VLOOKUP(C197,'Périodicités'!$A:$C,3,FALSE),""))))),"",EDATE(F197,IF(H197&lt;&gt;"",H197,IFERROR(VLOOKUP(C197,'Périodicités'!$A:$C,3,FALSE),""))))</f>
      </c>
      <c r="J197" s="9">
        <f>IF(I197="","",I197-TODAY())</f>
      </c>
      <c r="K197" s="7">
        <f>IF(B197&amp;C197="","",IF(F197="","Date à saisir",IF(I197="","Périodicité à confirmer",IF(J197&lt;0,"En retard",IF(J197&lt;=30,"À planifier","À jour")))))</f>
      </c>
      <c r="L197" s="5"/>
      <c r="M197" s="5"/>
      <c r="N197" s="5"/>
      <c r="O197" s="10"/>
    </row>
    <row r="198" spans="1:15" x14ac:dyDescent="0.25">
      <c r="A198" s="5">
        <v>194</v>
      </c>
      <c r="B198" s="5"/>
      <c r="C198" s="5"/>
      <c r="D198" s="5"/>
      <c r="E198" s="5"/>
      <c r="F198" s="6"/>
      <c r="G198" s="7">
        <f>IF(C198="","",IFERROR(VLOOKUP(C198,'Périodicités'!$A:$B,2,FALSE),""))</f>
      </c>
      <c r="H198" s="5"/>
      <c r="I198" s="8">
        <f>IF(OR(F198="",NOT(ISNUMBER(IF(H198&lt;&gt;"",H198,IFERROR(VLOOKUP(C198,'Périodicités'!$A:$C,3,FALSE),""))))),"",EDATE(F198,IF(H198&lt;&gt;"",H198,IFERROR(VLOOKUP(C198,'Périodicités'!$A:$C,3,FALSE),""))))</f>
      </c>
      <c r="J198" s="9">
        <f>IF(I198="","",I198-TODAY())</f>
      </c>
      <c r="K198" s="7">
        <f>IF(B198&amp;C198="","",IF(F198="","Date à saisir",IF(I198="","Périodicité à confirmer",IF(J198&lt;0,"En retard",IF(J198&lt;=30,"À planifier","À jour")))))</f>
      </c>
      <c r="L198" s="5"/>
      <c r="M198" s="5"/>
      <c r="N198" s="5"/>
      <c r="O198" s="10"/>
    </row>
    <row r="199" spans="1:15" x14ac:dyDescent="0.25">
      <c r="A199" s="5">
        <v>195</v>
      </c>
      <c r="B199" s="5"/>
      <c r="C199" s="5"/>
      <c r="D199" s="5"/>
      <c r="E199" s="5"/>
      <c r="F199" s="6"/>
      <c r="G199" s="7">
        <f>IF(C199="","",IFERROR(VLOOKUP(C199,'Périodicités'!$A:$B,2,FALSE),""))</f>
      </c>
      <c r="H199" s="5"/>
      <c r="I199" s="8">
        <f>IF(OR(F199="",NOT(ISNUMBER(IF(H199&lt;&gt;"",H199,IFERROR(VLOOKUP(C199,'Périodicités'!$A:$C,3,FALSE),""))))),"",EDATE(F199,IF(H199&lt;&gt;"",H199,IFERROR(VLOOKUP(C199,'Périodicités'!$A:$C,3,FALSE),""))))</f>
      </c>
      <c r="J199" s="9">
        <f>IF(I199="","",I199-TODAY())</f>
      </c>
      <c r="K199" s="7">
        <f>IF(B199&amp;C199="","",IF(F199="","Date à saisir",IF(I199="","Périodicité à confirmer",IF(J199&lt;0,"En retard",IF(J199&lt;=30,"À planifier","À jour")))))</f>
      </c>
      <c r="L199" s="5"/>
      <c r="M199" s="5"/>
      <c r="N199" s="5"/>
      <c r="O199" s="10"/>
    </row>
    <row r="200" spans="1:15" x14ac:dyDescent="0.25">
      <c r="A200" s="5">
        <v>196</v>
      </c>
      <c r="B200" s="5"/>
      <c r="C200" s="5"/>
      <c r="D200" s="5"/>
      <c r="E200" s="5"/>
      <c r="F200" s="6"/>
      <c r="G200" s="7">
        <f>IF(C200="","",IFERROR(VLOOKUP(C200,'Périodicités'!$A:$B,2,FALSE),""))</f>
      </c>
      <c r="H200" s="5"/>
      <c r="I200" s="8">
        <f>IF(OR(F200="",NOT(ISNUMBER(IF(H200&lt;&gt;"",H200,IFERROR(VLOOKUP(C200,'Périodicités'!$A:$C,3,FALSE),""))))),"",EDATE(F200,IF(H200&lt;&gt;"",H200,IFERROR(VLOOKUP(C200,'Périodicités'!$A:$C,3,FALSE),""))))</f>
      </c>
      <c r="J200" s="9">
        <f>IF(I200="","",I200-TODAY())</f>
      </c>
      <c r="K200" s="7">
        <f>IF(B200&amp;C200="","",IF(F200="","Date à saisir",IF(I200="","Périodicité à confirmer",IF(J200&lt;0,"En retard",IF(J200&lt;=30,"À planifier","À jour")))))</f>
      </c>
      <c r="L200" s="5"/>
      <c r="M200" s="5"/>
      <c r="N200" s="5"/>
      <c r="O200" s="10"/>
    </row>
    <row r="201" spans="1:15" x14ac:dyDescent="0.25">
      <c r="A201" s="5">
        <v>197</v>
      </c>
      <c r="B201" s="5"/>
      <c r="C201" s="5"/>
      <c r="D201" s="5"/>
      <c r="E201" s="5"/>
      <c r="F201" s="6"/>
      <c r="G201" s="7">
        <f>IF(C201="","",IFERROR(VLOOKUP(C201,'Périodicités'!$A:$B,2,FALSE),""))</f>
      </c>
      <c r="H201" s="5"/>
      <c r="I201" s="8">
        <f>IF(OR(F201="",NOT(ISNUMBER(IF(H201&lt;&gt;"",H201,IFERROR(VLOOKUP(C201,'Périodicités'!$A:$C,3,FALSE),""))))),"",EDATE(F201,IF(H201&lt;&gt;"",H201,IFERROR(VLOOKUP(C201,'Périodicités'!$A:$C,3,FALSE),""))))</f>
      </c>
      <c r="J201" s="9">
        <f>IF(I201="","",I201-TODAY())</f>
      </c>
      <c r="K201" s="7">
        <f>IF(B201&amp;C201="","",IF(F201="","Date à saisir",IF(I201="","Périodicité à confirmer",IF(J201&lt;0,"En retard",IF(J201&lt;=30,"À planifier","À jour")))))</f>
      </c>
      <c r="L201" s="5"/>
      <c r="M201" s="5"/>
      <c r="N201" s="5"/>
      <c r="O201" s="10"/>
    </row>
    <row r="202" spans="1:15" x14ac:dyDescent="0.25">
      <c r="A202" s="5">
        <v>198</v>
      </c>
      <c r="B202" s="5"/>
      <c r="C202" s="5"/>
      <c r="D202" s="5"/>
      <c r="E202" s="5"/>
      <c r="F202" s="6"/>
      <c r="G202" s="7">
        <f>IF(C202="","",IFERROR(VLOOKUP(C202,'Périodicités'!$A:$B,2,FALSE),""))</f>
      </c>
      <c r="H202" s="5"/>
      <c r="I202" s="8">
        <f>IF(OR(F202="",NOT(ISNUMBER(IF(H202&lt;&gt;"",H202,IFERROR(VLOOKUP(C202,'Périodicités'!$A:$C,3,FALSE),""))))),"",EDATE(F202,IF(H202&lt;&gt;"",H202,IFERROR(VLOOKUP(C202,'Périodicités'!$A:$C,3,FALSE),""))))</f>
      </c>
      <c r="J202" s="9">
        <f>IF(I202="","",I202-TODAY())</f>
      </c>
      <c r="K202" s="7">
        <f>IF(B202&amp;C202="","",IF(F202="","Date à saisir",IF(I202="","Périodicité à confirmer",IF(J202&lt;0,"En retard",IF(J202&lt;=30,"À planifier","À jour")))))</f>
      </c>
      <c r="L202" s="5"/>
      <c r="M202" s="5"/>
      <c r="N202" s="5"/>
      <c r="O202" s="10"/>
    </row>
    <row r="203" spans="1:15" x14ac:dyDescent="0.25">
      <c r="A203" s="5">
        <v>199</v>
      </c>
      <c r="B203" s="5"/>
      <c r="C203" s="5"/>
      <c r="D203" s="5"/>
      <c r="E203" s="5"/>
      <c r="F203" s="6"/>
      <c r="G203" s="7">
        <f>IF(C203="","",IFERROR(VLOOKUP(C203,'Périodicités'!$A:$B,2,FALSE),""))</f>
      </c>
      <c r="H203" s="5"/>
      <c r="I203" s="8">
        <f>IF(OR(F203="",NOT(ISNUMBER(IF(H203&lt;&gt;"",H203,IFERROR(VLOOKUP(C203,'Périodicités'!$A:$C,3,FALSE),""))))),"",EDATE(F203,IF(H203&lt;&gt;"",H203,IFERROR(VLOOKUP(C203,'Périodicités'!$A:$C,3,FALSE),""))))</f>
      </c>
      <c r="J203" s="9">
        <f>IF(I203="","",I203-TODAY())</f>
      </c>
      <c r="K203" s="7">
        <f>IF(B203&amp;C203="","",IF(F203="","Date à saisir",IF(I203="","Périodicité à confirmer",IF(J203&lt;0,"En retard",IF(J203&lt;=30,"À planifier","À jour")))))</f>
      </c>
      <c r="L203" s="5"/>
      <c r="M203" s="5"/>
      <c r="N203" s="5"/>
      <c r="O203" s="10"/>
    </row>
    <row r="204" spans="1:15" x14ac:dyDescent="0.25">
      <c r="A204" s="5">
        <v>200</v>
      </c>
      <c r="B204" s="5"/>
      <c r="C204" s="5"/>
      <c r="D204" s="5"/>
      <c r="E204" s="5"/>
      <c r="F204" s="6"/>
      <c r="G204" s="7">
        <f>IF(C204="","",IFERROR(VLOOKUP(C204,'Périodicités'!$A:$B,2,FALSE),""))</f>
      </c>
      <c r="H204" s="5"/>
      <c r="I204" s="8">
        <f>IF(OR(F204="",NOT(ISNUMBER(IF(H204&lt;&gt;"",H204,IFERROR(VLOOKUP(C204,'Périodicités'!$A:$C,3,FALSE),""))))),"",EDATE(F204,IF(H204&lt;&gt;"",H204,IFERROR(VLOOKUP(C204,'Périodicités'!$A:$C,3,FALSE),""))))</f>
      </c>
      <c r="J204" s="9">
        <f>IF(I204="","",I204-TODAY())</f>
      </c>
      <c r="K204" s="7">
        <f>IF(B204&amp;C204="","",IF(F204="","Date à saisir",IF(I204="","Périodicité à confirmer",IF(J204&lt;0,"En retard",IF(J204&lt;=30,"À planifier","À jour")))))</f>
      </c>
      <c r="L204" s="5"/>
      <c r="M204" s="5"/>
      <c r="N204" s="5"/>
      <c r="O204" s="10"/>
    </row>
  </sheetData>
  <autoFilter ref="A4:O204"/>
  <mergeCells count="2">
    <mergeCell ref="A1:O1"/>
    <mergeCell ref="A2:O2"/>
  </mergeCells>
  <conditionalFormatting sqref="K5:K204">
    <cfRule type="expression" dxfId="5" priority="1">
      <formula>$K5="En retard"</formula>
    </cfRule>
    <cfRule type="expression" dxfId="6" priority="2">
      <formula>$K5="À planifier"</formula>
    </cfRule>
    <cfRule type="expression" dxfId="7" priority="3">
      <formula>$K5="À jour"</formula>
    </cfRule>
    <cfRule type="expression" dxfId="8" priority="4">
      <formula>OR($K5="Périodicité à confirmer",$K5="Date à saisir")</formula>
    </cfRule>
  </conditionalFormatting>
  <conditionalFormatting sqref="N5:N204">
    <cfRule type="expression" dxfId="9" priority="5">
      <formula>$N5="Oui"</formula>
    </cfRule>
  </conditionalFormatting>
  <dataValidations count="4">
    <dataValidation type="list" allowBlank="1" showErrorMessage="1" errorTitle="Type inconnu" error="Choisissez un type dans la liste (onglet Périodicités)." sqref="C5:C204">
      <formula1>'Périodicités'!$A$2:$A$9</formula1>
    </dataValidation>
    <dataValidation type="date" operator="greaterThan" allowBlank="1" showErrorMessage="1" errorTitle="Date attendue" error="Saisissez une date, par exemple 12/03/2026." sqref="F5:F204">
      <formula1>36526</formula1>
    </dataValidation>
    <dataValidation type="list" allowBlank="1" showInputMessage="1" promptTitle="Périodicité retenue" prompt="À renseigner si la périodicité indicative est « à confirmer » ou si votre vérificateur en retient une autre." sqref="H5:H204">
      <formula1>"3,6,12"</formula1>
    </dataValidation>
    <dataValidation type="list" allowBlank="1" sqref="N5:N204">
      <formula1>"Oui,Non"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&amp;Lmodele-vgp.fr&amp;RPage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5" width="60" customWidth="1"/>
    <col min="6" max="6" width="42" customWidth="1"/>
  </cols>
  <sheetData>
    <row r="1" spans="1:6" x14ac:dyDescent="0.25">
      <c r="A1" s="18" t="s">
        <v>4</v>
      </c>
      <c r="B1" s="18" t="s">
        <v>8</v>
      </c>
      <c r="C1" s="18" t="s">
        <v>46</v>
      </c>
      <c r="D1" s="18" t="s">
        <v>47</v>
      </c>
      <c r="E1" s="18" t="s">
        <v>48</v>
      </c>
      <c r="F1" s="18" t="s">
        <v>49</v>
      </c>
    </row>
    <row r="2" spans="1:6" s="19" customFormat="1" x14ac:dyDescent="0.25">
      <c r="A2" s="19" t="s">
        <v>27</v>
      </c>
      <c r="B2" s="19" t="s">
        <v>50</v>
      </c>
      <c r="C2" s="19">
        <v>6</v>
      </c>
      <c r="D2" s="19" t="s">
        <v>51</v>
      </c>
      <c r="E2" s="19" t="s">
        <v>52</v>
      </c>
      <c r="F2" s="19" t="s">
        <v>53</v>
      </c>
    </row>
    <row r="3" spans="1:6" s="19" customFormat="1" x14ac:dyDescent="0.25">
      <c r="A3" s="19" t="s">
        <v>54</v>
      </c>
      <c r="B3" s="19" t="s">
        <v>55</v>
      </c>
      <c r="C3" s="19" t="s">
        <v>56</v>
      </c>
      <c r="D3" s="19" t="s">
        <v>57</v>
      </c>
      <c r="E3" s="19" t="s">
        <v>58</v>
      </c>
      <c r="F3" s="19" t="s">
        <v>59</v>
      </c>
    </row>
    <row r="4" spans="1:6" s="19" customFormat="1" x14ac:dyDescent="0.25">
      <c r="A4" s="19" t="s">
        <v>42</v>
      </c>
      <c r="B4" s="19" t="s">
        <v>50</v>
      </c>
      <c r="C4" s="19">
        <v>6</v>
      </c>
      <c r="D4" s="19" t="s">
        <v>60</v>
      </c>
      <c r="E4" s="19" t="s">
        <v>61</v>
      </c>
      <c r="F4" s="19" t="s">
        <v>62</v>
      </c>
    </row>
    <row r="5" spans="1:6" s="19" customFormat="1" x14ac:dyDescent="0.25">
      <c r="A5" s="19" t="s">
        <v>35</v>
      </c>
      <c r="B5" s="19" t="s">
        <v>63</v>
      </c>
      <c r="C5" s="19">
        <v>12</v>
      </c>
      <c r="D5" s="19" t="s">
        <v>64</v>
      </c>
      <c r="E5" s="19" t="s">
        <v>52</v>
      </c>
      <c r="F5" s="19" t="s">
        <v>65</v>
      </c>
    </row>
    <row r="6" spans="1:6" s="19" customFormat="1" x14ac:dyDescent="0.25">
      <c r="A6" s="19" t="s">
        <v>66</v>
      </c>
      <c r="B6" s="19" t="s">
        <v>50</v>
      </c>
      <c r="C6" s="19">
        <v>6</v>
      </c>
      <c r="D6" s="19" t="s">
        <v>67</v>
      </c>
      <c r="E6" s="19" t="s">
        <v>68</v>
      </c>
      <c r="F6" s="19" t="s">
        <v>69</v>
      </c>
    </row>
    <row r="7" spans="1:6" s="19" customFormat="1" x14ac:dyDescent="0.25">
      <c r="A7" s="19" t="s">
        <v>70</v>
      </c>
      <c r="B7" s="19" t="s">
        <v>50</v>
      </c>
      <c r="C7" s="19">
        <v>6</v>
      </c>
      <c r="D7" s="19" t="s">
        <v>71</v>
      </c>
      <c r="E7" s="19" t="s">
        <v>58</v>
      </c>
      <c r="F7" s="19" t="s">
        <v>72</v>
      </c>
    </row>
    <row r="8" spans="1:6" s="19" customFormat="1" x14ac:dyDescent="0.25">
      <c r="A8" s="19" t="s">
        <v>73</v>
      </c>
      <c r="B8" s="19" t="s">
        <v>74</v>
      </c>
      <c r="C8" s="19" t="s">
        <v>56</v>
      </c>
      <c r="D8" s="19" t="s">
        <v>75</v>
      </c>
      <c r="E8" s="19" t="s">
        <v>58</v>
      </c>
      <c r="F8" s="19" t="s">
        <v>76</v>
      </c>
    </row>
    <row r="9" spans="1:6" s="19" customFormat="1" x14ac:dyDescent="0.25">
      <c r="A9" s="19" t="s">
        <v>77</v>
      </c>
      <c r="B9" s="19" t="s">
        <v>63</v>
      </c>
      <c r="C9" s="19">
        <v>12</v>
      </c>
      <c r="D9" s="19" t="s">
        <v>78</v>
      </c>
      <c r="E9" s="19" t="s">
        <v>79</v>
      </c>
      <c r="F9" s="19" t="s">
        <v>80</v>
      </c>
    </row>
    <row r="11" spans="1:1" x14ac:dyDescent="0.25">
      <c r="A11" t="s">
        <v>81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10" customWidth="1"/>
  </cols>
  <sheetData>
    <row r="1" spans="1:1" x14ac:dyDescent="0.25">
      <c r="A1" s="20" t="s">
        <v>82</v>
      </c>
    </row>
    <row r="2" spans="1:1" x14ac:dyDescent="0.25">
      <c r="A2" s="19" t="s">
        <v>83</v>
      </c>
    </row>
    <row r="3" spans="1:1" x14ac:dyDescent="0.25">
      <c r="A3" s="19" t="s">
        <v>84</v>
      </c>
    </row>
    <row r="4" spans="1:1" x14ac:dyDescent="0.25">
      <c r="A4" s="19" t="s">
        <v>85</v>
      </c>
    </row>
    <row r="5" spans="1:1" x14ac:dyDescent="0.25">
      <c r="A5" s="19" t="s">
        <v>86</v>
      </c>
    </row>
    <row r="6" spans="1:1" x14ac:dyDescent="0.25">
      <c r="A6" s="19" t="s">
        <v>87</v>
      </c>
    </row>
    <row r="7" spans="1:1" x14ac:dyDescent="0.25">
      <c r="A7" s="19" t="s">
        <v>88</v>
      </c>
    </row>
    <row r="8" spans="1:1" x14ac:dyDescent="0.25">
      <c r="A8" s="19" t="s">
        <v>89</v>
      </c>
    </row>
    <row r="9" spans="1:1" x14ac:dyDescent="0.25">
      <c r="A9" s="20" t="s">
        <v>90</v>
      </c>
    </row>
    <row r="10" spans="1:1" x14ac:dyDescent="0.25">
      <c r="A10" s="19" t="s">
        <v>91</v>
      </c>
    </row>
    <row r="11" spans="1:1" x14ac:dyDescent="0.25">
      <c r="A11" s="19" t="s">
        <v>92</v>
      </c>
    </row>
    <row r="12" spans="1:1" x14ac:dyDescent="0.25">
      <c r="A12" s="19" t="s">
        <v>93</v>
      </c>
    </row>
    <row r="13" spans="1:1" x14ac:dyDescent="0.25">
      <c r="A13" s="21" t="s">
        <v>94</v>
      </c>
    </row>
    <row r="14" spans="1:1" x14ac:dyDescent="0.25">
      <c r="A14" s="19" t="s">
        <v>89</v>
      </c>
    </row>
    <row r="15" spans="1:1" x14ac:dyDescent="0.25">
      <c r="A15" s="20" t="s">
        <v>95</v>
      </c>
    </row>
    <row r="16" spans="1:1" x14ac:dyDescent="0.25">
      <c r="A16" s="19" t="s">
        <v>96</v>
      </c>
    </row>
    <row r="17" spans="1:1" x14ac:dyDescent="0.25">
      <c r="A17" s="21" t="s">
        <v>97</v>
      </c>
    </row>
    <row r="18" spans="1:1" x14ac:dyDescent="0.25">
      <c r="A18" s="19" t="s">
        <v>89</v>
      </c>
    </row>
    <row r="19" spans="1:1" x14ac:dyDescent="0.25">
      <c r="A19" s="19" t="s">
        <v>98</v>
      </c>
    </row>
    <row r="20" spans="1:1" x14ac:dyDescent="0.25">
      <c r="A20" s="21" t="s">
        <v>99</v>
      </c>
    </row>
  </sheetData>
  <hyperlinks>
    <hyperlink ref="A13" r:id="rId1"/>
    <hyperlink ref="A17" r:id="rId2"/>
    <hyperlink ref="A20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Suivi VGP</vt:lpstr>
      <vt:lpstr>Tableau de bord</vt:lpstr>
      <vt:lpstr>Exemple</vt:lpstr>
      <vt:lpstr>Périodicités</vt:lpstr>
      <vt:lpstr>Mode d’emploi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modele-vgp.fr</dc:creator>
  <dc:title>Tableau de suivi des VGP</dc:title>
  <dc:subject/>
  <dc:description/>
  <cp:keywords/>
  <cp:category/>
  <cp:lastModifiedBy>Unknown</cp:lastModifiedBy>
  <dcterms:created xsi:type="dcterms:W3CDTF">2026-10-19T08:05:20Z</dcterms:created>
  <dcterms:modified xsi:type="dcterms:W3CDTF">2026-10-19T08:05:20Z</dcterms:modified>
</cp:coreProperties>
</file>