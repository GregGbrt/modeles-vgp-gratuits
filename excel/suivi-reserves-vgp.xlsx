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erves" state="visible" r:id="rId4"/>
    <sheet sheetId="2" name="Tableau de bord" state="visible" r:id="rId5"/>
    <sheet sheetId="3" name="Exemple" state="visible" r:id="rId6"/>
    <sheet sheetId="4" name="Mode d’emploi" state="visible" r:id="rId7"/>
  </sheets>
  <definedNames>
    <definedName name="_xlnm.Print_Titles" localSheetId="0">'Réserves'!$4:$4</definedName>
    <definedName name="_xlnm.Print_Titles" localSheetId="2">'Exemple'!$4:$4</definedName>
  </definedNames>
  <calcPr calcId="171027" fullCalcOnLoad="1"/>
</workbook>
</file>

<file path=xl/sharedStrings.xml><?xml version="1.0" encoding="utf-8"?>
<sst xmlns="http://schemas.openxmlformats.org/spreadsheetml/2006/main" count="77" uniqueCount="55">
  <si>
    <t>Suivi des observations et levée des réserves</t>
  </si>
  <si>
    <t>Une ligne par observation du rapport : action, responsable, échéance, puis date de levée et preuve. Le statut se calcule seul.</t>
  </si>
  <si>
    <t>N°</t>
  </si>
  <si>
    <t>Date du rapport</t>
  </si>
  <si>
    <t>N° du rapport</t>
  </si>
  <si>
    <t>Équipement (repère)</t>
  </si>
  <si>
    <t>Observation (texte du rapport)</t>
  </si>
  <si>
    <t>Niveau</t>
  </si>
  <si>
    <t>Action corrective</t>
  </si>
  <si>
    <t>Responsable</t>
  </si>
  <si>
    <t>Échéance</t>
  </si>
  <si>
    <t>Intervenant</t>
  </si>
  <si>
    <t>Date de levée</t>
  </si>
  <si>
    <t>Preuve de levée</t>
  </si>
  <si>
    <t>Jours avant échéance</t>
  </si>
  <si>
    <t>Statut</t>
  </si>
  <si>
    <t>Tableau de bord · Réserves</t>
  </si>
  <si>
    <t>Observations suivies</t>
  </si>
  <si>
    <t>En retard</t>
  </si>
  <si>
    <t>En cours</t>
  </si>
  <si>
    <t>À planifier (sans échéance)</t>
  </si>
  <si>
    <t>Levées, preuve à joindre</t>
  </si>
  <si>
    <t>Levées avec preuve</t>
  </si>
  <si>
    <t>Calculé depuis l’onglet « Réserves ». L’onglet « Exemple » n’est pas compté.</t>
  </si>
  <si>
    <t>R-0002</t>
  </si>
  <si>
    <t>Pont EXEMPLE atelier</t>
  </si>
  <si>
    <t>Usure du câble de levage</t>
  </si>
  <si>
    <t>Immédiat</t>
  </si>
  <si>
    <t>Remplacement du câble</t>
  </si>
  <si>
    <t>Responsable maintenance</t>
  </si>
  <si>
    <t>Prestataire EXEMPLE</t>
  </si>
  <si>
    <t>Facture et photo jointes au rapport</t>
  </si>
  <si>
    <t>Fin de course haut à régler</t>
  </si>
  <si>
    <t>Planifié</t>
  </si>
  <si>
    <t>Réglage du fin de course</t>
  </si>
  <si>
    <t>R-0001</t>
  </si>
  <si>
    <t>Chariot EXEMPLE quai 2</t>
  </si>
  <si>
    <t>Fuite légère sur vérin de levée</t>
  </si>
  <si>
    <t>Changement du joint</t>
  </si>
  <si>
    <t>Chef d’atelier</t>
  </si>
  <si>
    <t>Suivi des observations et levée des réserves · modele-vgp.fr</t>
  </si>
  <si>
    <t>1. Recopiez chaque observation du rapport telle qu’elle est écrite, avec la date et le numéro du rapport.</t>
  </si>
  <si>
    <t>2. Fixez le niveau (immédiat, planifié, à surveiller), l’action corrective, le responsable et l’échéance.</t>
  </si>
  <si>
    <t>3. Une fois l’action faite, saisissez la date de levée et la preuve (bon d’intervention, facture, photo).</t>
  </si>
  <si>
    <t>4. Le statut se met à jour seul : En cours, En retard, Preuve à joindre, Levée. Filtrez-le pour préparer la prochaine VGP.</t>
  </si>
  <si>
    <t/>
  </si>
  <si>
    <t>Bon à savoir</t>
  </si>
  <si>
    <t>L’INRS rappelle que l’employeur agit sur toutes les observations signalées dans les rapports, provisoires ou non (ED 6339, question 12) : ce tableau en garde la trace, observation par observation.</t>
  </si>
  <si>
    <t>Trames imprimables et sources sur le site :</t>
  </si>
  <si>
    <t>https://modele-vgp.fr/modeles/fiche-levee-reserves/</t>
  </si>
  <si>
    <t>Votre parc grandit ?</t>
  </si>
  <si>
    <t>Au-delà d’une vingtaine d’équipements ou de plusieurs sites, un logiciel envoie les rappels, archive les rapports et partage le suivi. Comparez-les selon votre profil :</t>
  </si>
  <si>
    <t>https://modele-vgp.fr/logiciels-vgp/</t>
  </si>
  <si>
    <t>Faire réaliser une VGP près de chez vous :</t>
  </si>
  <si>
    <t>https://modele-vgp.fr/devis/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</si>
</sst>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color theme="1"/>
      <family val="2"/>
      <scheme val="minor"/>
      <sz val="11"/>
      <name val="Calibri"/>
    </font>
    <font>
      <b/>
      <color rgb="FF12314F"/>
      <sz val="16"/>
    </font>
    <font>
      <i/>
      <color rgb="FF5A6B80"/>
    </font>
    <font>
      <b/>
      <color rgb="FF12805F"/>
    </font>
    <font>
      <b/>
      <color rgb="FFFFFFFF"/>
    </font>
    <font>
      <b/>
      <color rgb="FF12314F"/>
    </font>
    <font>
      <b/>
      <color rgb="FFB42318"/>
      <sz val="16"/>
    </font>
    <font>
      <b/>
      <color rgb="FF9A6700"/>
      <sz val="16"/>
    </font>
    <font>
      <b/>
      <color rgb="FF0E6B4F"/>
      <sz val="16"/>
    </font>
    <font>
      <b/>
      <color rgb="FF12314F"/>
      <sz val="13"/>
    </font>
    <font>
      <u/>
      <color rgb="FF12805F"/>
    </font>
  </fonts>
  <fills count="7">
    <fill>
      <patternFill patternType="none"/>
    </fill>
    <fill>
      <patternFill patternType="gray125"/>
    </fill>
    <fill>
      <patternFill patternType="solid">
        <fgColor rgb="FF12314F"/>
      </patternFill>
    </fill>
    <fill>
      <patternFill patternType="solid">
        <fgColor rgb="FFF7F9FC"/>
      </patternFill>
    </fill>
    <fill>
      <patternFill patternType="solid">
        <fgColor rgb="FFFEF3F2"/>
      </patternFill>
    </fill>
    <fill>
      <patternFill patternType="solid">
        <fgColor rgb="FFFFF7E6"/>
      </patternFill>
    </fill>
    <fill>
      <patternFill patternType="solid">
        <fgColor rgb="FFEEF8F3"/>
      </patternFill>
    </fill>
  </fills>
  <borders count="2">
    <border>
      <left/>
      <right/>
      <top/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6">
    <dxf>
      <font>
        <b/>
        <color rgb="FFB42318"/>
      </font>
      <fill>
        <patternFill patternType="solid">
          <bgColor rgb="FFFEF3F2"/>
        </patternFill>
      </fill>
    </dxf>
    <dxf>
      <font>
        <b/>
        <color rgb="FF9A6700"/>
      </font>
      <fill>
        <patternFill patternType="solid">
          <bgColor rgb="FFFFF7E6"/>
        </patternFill>
      </fill>
    </dxf>
    <dxf>
      <font>
        <b/>
        <color rgb="FF0E6B4F"/>
      </font>
      <fill>
        <patternFill patternType="solid">
          <bgColor rgb="FFEEF8F3"/>
        </patternFill>
      </fill>
    </dxf>
    <dxf>
      <font>
        <b/>
        <color rgb="FFB42318"/>
      </font>
      <fill>
        <patternFill patternType="solid">
          <bgColor rgb="FFFEF3F2"/>
        </patternFill>
      </fill>
    </dxf>
    <dxf>
      <font>
        <b/>
        <color rgb="FF9A6700"/>
      </font>
      <fill>
        <patternFill patternType="solid">
          <bgColor rgb="FFFFF7E6"/>
        </patternFill>
      </fill>
    </dxf>
    <dxf>
      <font>
        <b/>
        <color rgb="FF0E6B4F"/>
      </font>
      <fill>
        <patternFill patternType="solid">
          <bgColor rgb="FFEEF8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odele-vgp.fr/modeles/fiche-levee-reserves/" TargetMode="External"/><Relationship Id="rId2" Type="http://schemas.openxmlformats.org/officeDocument/2006/relationships/hyperlink" Target="https://modele-vgp.fr/logiciels-vgp/?utm_source=excel&amp;utm_medium=modele&amp;utm_campaign=reserves" TargetMode="External"/><Relationship Id="rId3" Type="http://schemas.openxmlformats.org/officeDocument/2006/relationships/hyperlink" Target="https://modele-vgp.fr/devis/?source=excel-reserv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3" width="14" customWidth="1"/>
    <col min="4" max="4" width="22" customWidth="1"/>
    <col min="5" max="5" width="36" customWidth="1"/>
    <col min="6" max="6" width="13" customWidth="1"/>
    <col min="7" max="7" width="30" customWidth="1"/>
    <col min="8" max="8" width="18" customWidth="1"/>
    <col min="9" max="9" width="13" customWidth="1"/>
    <col min="10" max="10" width="18" customWidth="1"/>
    <col min="11" max="11" width="13" customWidth="1"/>
    <col min="12" max="12" width="28" customWidth="1"/>
    <col min="13" max="13" width="11" customWidth="1"/>
    <col min="14" max="14" width="1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" x14ac:dyDescent="0.25">
      <c r="A3" s="3">
        <f>"Situation au "&amp;TEXT(TODAY(),"dd/mm/yyyy")</f>
      </c>
    </row>
    <row r="4" ht="32" customHeight="1" spans="1:14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x14ac:dyDescent="0.25">
      <c r="A5" s="5">
        <v>1</v>
      </c>
      <c r="B5" s="6"/>
      <c r="C5" s="5"/>
      <c r="D5" s="5"/>
      <c r="E5" s="7"/>
      <c r="F5" s="5"/>
      <c r="G5" s="7"/>
      <c r="H5" s="5"/>
      <c r="I5" s="6"/>
      <c r="J5" s="5"/>
      <c r="K5" s="6"/>
      <c r="L5" s="7"/>
      <c r="M5" s="8">
        <f>IF(OR(I5="",K5&lt;&gt;""),"",I5-TODAY())</f>
      </c>
      <c r="N5" s="8">
        <f>IF(E5="","",IF(K5&lt;&gt;"",IF(L5="","Preuve à joindre","Levée"),IF(I5="","À planifier",IF(M5&lt;0,"En retard","En cours"))))</f>
      </c>
    </row>
    <row r="6" spans="1:14" x14ac:dyDescent="0.25">
      <c r="A6" s="5">
        <v>2</v>
      </c>
      <c r="B6" s="6"/>
      <c r="C6" s="5"/>
      <c r="D6" s="5"/>
      <c r="E6" s="7"/>
      <c r="F6" s="5"/>
      <c r="G6" s="7"/>
      <c r="H6" s="5"/>
      <c r="I6" s="6"/>
      <c r="J6" s="5"/>
      <c r="K6" s="6"/>
      <c r="L6" s="7"/>
      <c r="M6" s="8">
        <f>IF(OR(I6="",K6&lt;&gt;""),"",I6-TODAY())</f>
      </c>
      <c r="N6" s="8">
        <f>IF(E6="","",IF(K6&lt;&gt;"",IF(L6="","Preuve à joindre","Levée"),IF(I6="","À planifier",IF(M6&lt;0,"En retard","En cours"))))</f>
      </c>
    </row>
    <row r="7" spans="1:14" x14ac:dyDescent="0.25">
      <c r="A7" s="5">
        <v>3</v>
      </c>
      <c r="B7" s="6"/>
      <c r="C7" s="5"/>
      <c r="D7" s="5"/>
      <c r="E7" s="7"/>
      <c r="F7" s="5"/>
      <c r="G7" s="7"/>
      <c r="H7" s="5"/>
      <c r="I7" s="6"/>
      <c r="J7" s="5"/>
      <c r="K7" s="6"/>
      <c r="L7" s="7"/>
      <c r="M7" s="8">
        <f>IF(OR(I7="",K7&lt;&gt;""),"",I7-TODAY())</f>
      </c>
      <c r="N7" s="8">
        <f>IF(E7="","",IF(K7&lt;&gt;"",IF(L7="","Preuve à joindre","Levée"),IF(I7="","À planifier",IF(M7&lt;0,"En retard","En cours"))))</f>
      </c>
    </row>
    <row r="8" spans="1:14" x14ac:dyDescent="0.25">
      <c r="A8" s="5">
        <v>4</v>
      </c>
      <c r="B8" s="6"/>
      <c r="C8" s="5"/>
      <c r="D8" s="5"/>
      <c r="E8" s="7"/>
      <c r="F8" s="5"/>
      <c r="G8" s="7"/>
      <c r="H8" s="5"/>
      <c r="I8" s="6"/>
      <c r="J8" s="5"/>
      <c r="K8" s="6"/>
      <c r="L8" s="7"/>
      <c r="M8" s="8">
        <f>IF(OR(I8="",K8&lt;&gt;""),"",I8-TODAY())</f>
      </c>
      <c r="N8" s="8">
        <f>IF(E8="","",IF(K8&lt;&gt;"",IF(L8="","Preuve à joindre","Levée"),IF(I8="","À planifier",IF(M8&lt;0,"En retard","En cours"))))</f>
      </c>
    </row>
    <row r="9" spans="1:14" x14ac:dyDescent="0.25">
      <c r="A9" s="5">
        <v>5</v>
      </c>
      <c r="B9" s="6"/>
      <c r="C9" s="5"/>
      <c r="D9" s="5"/>
      <c r="E9" s="7"/>
      <c r="F9" s="5"/>
      <c r="G9" s="7"/>
      <c r="H9" s="5"/>
      <c r="I9" s="6"/>
      <c r="J9" s="5"/>
      <c r="K9" s="6"/>
      <c r="L9" s="7"/>
      <c r="M9" s="8">
        <f>IF(OR(I9="",K9&lt;&gt;""),"",I9-TODAY())</f>
      </c>
      <c r="N9" s="8">
        <f>IF(E9="","",IF(K9&lt;&gt;"",IF(L9="","Preuve à joindre","Levée"),IF(I9="","À planifier",IF(M9&lt;0,"En retard","En cours"))))</f>
      </c>
    </row>
    <row r="10" spans="1:14" x14ac:dyDescent="0.25">
      <c r="A10" s="5">
        <v>6</v>
      </c>
      <c r="B10" s="6"/>
      <c r="C10" s="5"/>
      <c r="D10" s="5"/>
      <c r="E10" s="7"/>
      <c r="F10" s="5"/>
      <c r="G10" s="7"/>
      <c r="H10" s="5"/>
      <c r="I10" s="6"/>
      <c r="J10" s="5"/>
      <c r="K10" s="6"/>
      <c r="L10" s="7"/>
      <c r="M10" s="8">
        <f>IF(OR(I10="",K10&lt;&gt;""),"",I10-TODAY())</f>
      </c>
      <c r="N10" s="8">
        <f>IF(E10="","",IF(K10&lt;&gt;"",IF(L10="","Preuve à joindre","Levée"),IF(I10="","À planifier",IF(M10&lt;0,"En retard","En cours"))))</f>
      </c>
    </row>
    <row r="11" spans="1:14" x14ac:dyDescent="0.25">
      <c r="A11" s="5">
        <v>7</v>
      </c>
      <c r="B11" s="6"/>
      <c r="C11" s="5"/>
      <c r="D11" s="5"/>
      <c r="E11" s="7"/>
      <c r="F11" s="5"/>
      <c r="G11" s="7"/>
      <c r="H11" s="5"/>
      <c r="I11" s="6"/>
      <c r="J11" s="5"/>
      <c r="K11" s="6"/>
      <c r="L11" s="7"/>
      <c r="M11" s="8">
        <f>IF(OR(I11="",K11&lt;&gt;""),"",I11-TODAY())</f>
      </c>
      <c r="N11" s="8">
        <f>IF(E11="","",IF(K11&lt;&gt;"",IF(L11="","Preuve à joindre","Levée"),IF(I11="","À planifier",IF(M11&lt;0,"En retard","En cours"))))</f>
      </c>
    </row>
    <row r="12" spans="1:14" x14ac:dyDescent="0.25">
      <c r="A12" s="5">
        <v>8</v>
      </c>
      <c r="B12" s="6"/>
      <c r="C12" s="5"/>
      <c r="D12" s="5"/>
      <c r="E12" s="7"/>
      <c r="F12" s="5"/>
      <c r="G12" s="7"/>
      <c r="H12" s="5"/>
      <c r="I12" s="6"/>
      <c r="J12" s="5"/>
      <c r="K12" s="6"/>
      <c r="L12" s="7"/>
      <c r="M12" s="8">
        <f>IF(OR(I12="",K12&lt;&gt;""),"",I12-TODAY())</f>
      </c>
      <c r="N12" s="8">
        <f>IF(E12="","",IF(K12&lt;&gt;"",IF(L12="","Preuve à joindre","Levée"),IF(I12="","À planifier",IF(M12&lt;0,"En retard","En cours"))))</f>
      </c>
    </row>
    <row r="13" spans="1:14" x14ac:dyDescent="0.25">
      <c r="A13" s="5">
        <v>9</v>
      </c>
      <c r="B13" s="6"/>
      <c r="C13" s="5"/>
      <c r="D13" s="5"/>
      <c r="E13" s="7"/>
      <c r="F13" s="5"/>
      <c r="G13" s="7"/>
      <c r="H13" s="5"/>
      <c r="I13" s="6"/>
      <c r="J13" s="5"/>
      <c r="K13" s="6"/>
      <c r="L13" s="7"/>
      <c r="M13" s="8">
        <f>IF(OR(I13="",K13&lt;&gt;""),"",I13-TODAY())</f>
      </c>
      <c r="N13" s="8">
        <f>IF(E13="","",IF(K13&lt;&gt;"",IF(L13="","Preuve à joindre","Levée"),IF(I13="","À planifier",IF(M13&lt;0,"En retard","En cours"))))</f>
      </c>
    </row>
    <row r="14" spans="1:14" x14ac:dyDescent="0.25">
      <c r="A14" s="5">
        <v>10</v>
      </c>
      <c r="B14" s="6"/>
      <c r="C14" s="5"/>
      <c r="D14" s="5"/>
      <c r="E14" s="7"/>
      <c r="F14" s="5"/>
      <c r="G14" s="7"/>
      <c r="H14" s="5"/>
      <c r="I14" s="6"/>
      <c r="J14" s="5"/>
      <c r="K14" s="6"/>
      <c r="L14" s="7"/>
      <c r="M14" s="8">
        <f>IF(OR(I14="",K14&lt;&gt;""),"",I14-TODAY())</f>
      </c>
      <c r="N14" s="8">
        <f>IF(E14="","",IF(K14&lt;&gt;"",IF(L14="","Preuve à joindre","Levée"),IF(I14="","À planifier",IF(M14&lt;0,"En retard","En cours"))))</f>
      </c>
    </row>
    <row r="15" spans="1:14" x14ac:dyDescent="0.25">
      <c r="A15" s="5">
        <v>11</v>
      </c>
      <c r="B15" s="6"/>
      <c r="C15" s="5"/>
      <c r="D15" s="5"/>
      <c r="E15" s="7"/>
      <c r="F15" s="5"/>
      <c r="G15" s="7"/>
      <c r="H15" s="5"/>
      <c r="I15" s="6"/>
      <c r="J15" s="5"/>
      <c r="K15" s="6"/>
      <c r="L15" s="7"/>
      <c r="M15" s="8">
        <f>IF(OR(I15="",K15&lt;&gt;""),"",I15-TODAY())</f>
      </c>
      <c r="N15" s="8">
        <f>IF(E15="","",IF(K15&lt;&gt;"",IF(L15="","Preuve à joindre","Levée"),IF(I15="","À planifier",IF(M15&lt;0,"En retard","En cours"))))</f>
      </c>
    </row>
    <row r="16" spans="1:14" x14ac:dyDescent="0.25">
      <c r="A16" s="5">
        <v>12</v>
      </c>
      <c r="B16" s="6"/>
      <c r="C16" s="5"/>
      <c r="D16" s="5"/>
      <c r="E16" s="7"/>
      <c r="F16" s="5"/>
      <c r="G16" s="7"/>
      <c r="H16" s="5"/>
      <c r="I16" s="6"/>
      <c r="J16" s="5"/>
      <c r="K16" s="6"/>
      <c r="L16" s="7"/>
      <c r="M16" s="8">
        <f>IF(OR(I16="",K16&lt;&gt;""),"",I16-TODAY())</f>
      </c>
      <c r="N16" s="8">
        <f>IF(E16="","",IF(K16&lt;&gt;"",IF(L16="","Preuve à joindre","Levée"),IF(I16="","À planifier",IF(M16&lt;0,"En retard","En cours"))))</f>
      </c>
    </row>
    <row r="17" spans="1:14" x14ac:dyDescent="0.25">
      <c r="A17" s="5">
        <v>13</v>
      </c>
      <c r="B17" s="6"/>
      <c r="C17" s="5"/>
      <c r="D17" s="5"/>
      <c r="E17" s="7"/>
      <c r="F17" s="5"/>
      <c r="G17" s="7"/>
      <c r="H17" s="5"/>
      <c r="I17" s="6"/>
      <c r="J17" s="5"/>
      <c r="K17" s="6"/>
      <c r="L17" s="7"/>
      <c r="M17" s="8">
        <f>IF(OR(I17="",K17&lt;&gt;""),"",I17-TODAY())</f>
      </c>
      <c r="N17" s="8">
        <f>IF(E17="","",IF(K17&lt;&gt;"",IF(L17="","Preuve à joindre","Levée"),IF(I17="","À planifier",IF(M17&lt;0,"En retard","En cours"))))</f>
      </c>
    </row>
    <row r="18" spans="1:14" x14ac:dyDescent="0.25">
      <c r="A18" s="5">
        <v>14</v>
      </c>
      <c r="B18" s="6"/>
      <c r="C18" s="5"/>
      <c r="D18" s="5"/>
      <c r="E18" s="7"/>
      <c r="F18" s="5"/>
      <c r="G18" s="7"/>
      <c r="H18" s="5"/>
      <c r="I18" s="6"/>
      <c r="J18" s="5"/>
      <c r="K18" s="6"/>
      <c r="L18" s="7"/>
      <c r="M18" s="8">
        <f>IF(OR(I18="",K18&lt;&gt;""),"",I18-TODAY())</f>
      </c>
      <c r="N18" s="8">
        <f>IF(E18="","",IF(K18&lt;&gt;"",IF(L18="","Preuve à joindre","Levée"),IF(I18="","À planifier",IF(M18&lt;0,"En retard","En cours"))))</f>
      </c>
    </row>
    <row r="19" spans="1:14" x14ac:dyDescent="0.25">
      <c r="A19" s="5">
        <v>15</v>
      </c>
      <c r="B19" s="6"/>
      <c r="C19" s="5"/>
      <c r="D19" s="5"/>
      <c r="E19" s="7"/>
      <c r="F19" s="5"/>
      <c r="G19" s="7"/>
      <c r="H19" s="5"/>
      <c r="I19" s="6"/>
      <c r="J19" s="5"/>
      <c r="K19" s="6"/>
      <c r="L19" s="7"/>
      <c r="M19" s="8">
        <f>IF(OR(I19="",K19&lt;&gt;""),"",I19-TODAY())</f>
      </c>
      <c r="N19" s="8">
        <f>IF(E19="","",IF(K19&lt;&gt;"",IF(L19="","Preuve à joindre","Levée"),IF(I19="","À planifier",IF(M19&lt;0,"En retard","En cours"))))</f>
      </c>
    </row>
    <row r="20" spans="1:14" x14ac:dyDescent="0.25">
      <c r="A20" s="5">
        <v>16</v>
      </c>
      <c r="B20" s="6"/>
      <c r="C20" s="5"/>
      <c r="D20" s="5"/>
      <c r="E20" s="7"/>
      <c r="F20" s="5"/>
      <c r="G20" s="7"/>
      <c r="H20" s="5"/>
      <c r="I20" s="6"/>
      <c r="J20" s="5"/>
      <c r="K20" s="6"/>
      <c r="L20" s="7"/>
      <c r="M20" s="8">
        <f>IF(OR(I20="",K20&lt;&gt;""),"",I20-TODAY())</f>
      </c>
      <c r="N20" s="8">
        <f>IF(E20="","",IF(K20&lt;&gt;"",IF(L20="","Preuve à joindre","Levée"),IF(I20="","À planifier",IF(M20&lt;0,"En retard","En cours"))))</f>
      </c>
    </row>
    <row r="21" spans="1:14" x14ac:dyDescent="0.25">
      <c r="A21" s="5">
        <v>17</v>
      </c>
      <c r="B21" s="6"/>
      <c r="C21" s="5"/>
      <c r="D21" s="5"/>
      <c r="E21" s="7"/>
      <c r="F21" s="5"/>
      <c r="G21" s="7"/>
      <c r="H21" s="5"/>
      <c r="I21" s="6"/>
      <c r="J21" s="5"/>
      <c r="K21" s="6"/>
      <c r="L21" s="7"/>
      <c r="M21" s="8">
        <f>IF(OR(I21="",K21&lt;&gt;""),"",I21-TODAY())</f>
      </c>
      <c r="N21" s="8">
        <f>IF(E21="","",IF(K21&lt;&gt;"",IF(L21="","Preuve à joindre","Levée"),IF(I21="","À planifier",IF(M21&lt;0,"En retard","En cours"))))</f>
      </c>
    </row>
    <row r="22" spans="1:14" x14ac:dyDescent="0.25">
      <c r="A22" s="5">
        <v>18</v>
      </c>
      <c r="B22" s="6"/>
      <c r="C22" s="5"/>
      <c r="D22" s="5"/>
      <c r="E22" s="7"/>
      <c r="F22" s="5"/>
      <c r="G22" s="7"/>
      <c r="H22" s="5"/>
      <c r="I22" s="6"/>
      <c r="J22" s="5"/>
      <c r="K22" s="6"/>
      <c r="L22" s="7"/>
      <c r="M22" s="8">
        <f>IF(OR(I22="",K22&lt;&gt;""),"",I22-TODAY())</f>
      </c>
      <c r="N22" s="8">
        <f>IF(E22="","",IF(K22&lt;&gt;"",IF(L22="","Preuve à joindre","Levée"),IF(I22="","À planifier",IF(M22&lt;0,"En retard","En cours"))))</f>
      </c>
    </row>
    <row r="23" spans="1:14" x14ac:dyDescent="0.25">
      <c r="A23" s="5">
        <v>19</v>
      </c>
      <c r="B23" s="6"/>
      <c r="C23" s="5"/>
      <c r="D23" s="5"/>
      <c r="E23" s="7"/>
      <c r="F23" s="5"/>
      <c r="G23" s="7"/>
      <c r="H23" s="5"/>
      <c r="I23" s="6"/>
      <c r="J23" s="5"/>
      <c r="K23" s="6"/>
      <c r="L23" s="7"/>
      <c r="M23" s="8">
        <f>IF(OR(I23="",K23&lt;&gt;""),"",I23-TODAY())</f>
      </c>
      <c r="N23" s="8">
        <f>IF(E23="","",IF(K23&lt;&gt;"",IF(L23="","Preuve à joindre","Levée"),IF(I23="","À planifier",IF(M23&lt;0,"En retard","En cours"))))</f>
      </c>
    </row>
    <row r="24" spans="1:14" x14ac:dyDescent="0.25">
      <c r="A24" s="5">
        <v>20</v>
      </c>
      <c r="B24" s="6"/>
      <c r="C24" s="5"/>
      <c r="D24" s="5"/>
      <c r="E24" s="7"/>
      <c r="F24" s="5"/>
      <c r="G24" s="7"/>
      <c r="H24" s="5"/>
      <c r="I24" s="6"/>
      <c r="J24" s="5"/>
      <c r="K24" s="6"/>
      <c r="L24" s="7"/>
      <c r="M24" s="8">
        <f>IF(OR(I24="",K24&lt;&gt;""),"",I24-TODAY())</f>
      </c>
      <c r="N24" s="8">
        <f>IF(E24="","",IF(K24&lt;&gt;"",IF(L24="","Preuve à joindre","Levée"),IF(I24="","À planifier",IF(M24&lt;0,"En retard","En cours"))))</f>
      </c>
    </row>
    <row r="25" spans="1:14" x14ac:dyDescent="0.25">
      <c r="A25" s="5">
        <v>21</v>
      </c>
      <c r="B25" s="6"/>
      <c r="C25" s="5"/>
      <c r="D25" s="5"/>
      <c r="E25" s="7"/>
      <c r="F25" s="5"/>
      <c r="G25" s="7"/>
      <c r="H25" s="5"/>
      <c r="I25" s="6"/>
      <c r="J25" s="5"/>
      <c r="K25" s="6"/>
      <c r="L25" s="7"/>
      <c r="M25" s="8">
        <f>IF(OR(I25="",K25&lt;&gt;""),"",I25-TODAY())</f>
      </c>
      <c r="N25" s="8">
        <f>IF(E25="","",IF(K25&lt;&gt;"",IF(L25="","Preuve à joindre","Levée"),IF(I25="","À planifier",IF(M25&lt;0,"En retard","En cours"))))</f>
      </c>
    </row>
    <row r="26" spans="1:14" x14ac:dyDescent="0.25">
      <c r="A26" s="5">
        <v>22</v>
      </c>
      <c r="B26" s="6"/>
      <c r="C26" s="5"/>
      <c r="D26" s="5"/>
      <c r="E26" s="7"/>
      <c r="F26" s="5"/>
      <c r="G26" s="7"/>
      <c r="H26" s="5"/>
      <c r="I26" s="6"/>
      <c r="J26" s="5"/>
      <c r="K26" s="6"/>
      <c r="L26" s="7"/>
      <c r="M26" s="8">
        <f>IF(OR(I26="",K26&lt;&gt;""),"",I26-TODAY())</f>
      </c>
      <c r="N26" s="8">
        <f>IF(E26="","",IF(K26&lt;&gt;"",IF(L26="","Preuve à joindre","Levée"),IF(I26="","À planifier",IF(M26&lt;0,"En retard","En cours"))))</f>
      </c>
    </row>
    <row r="27" spans="1:14" x14ac:dyDescent="0.25">
      <c r="A27" s="5">
        <v>23</v>
      </c>
      <c r="B27" s="6"/>
      <c r="C27" s="5"/>
      <c r="D27" s="5"/>
      <c r="E27" s="7"/>
      <c r="F27" s="5"/>
      <c r="G27" s="7"/>
      <c r="H27" s="5"/>
      <c r="I27" s="6"/>
      <c r="J27" s="5"/>
      <c r="K27" s="6"/>
      <c r="L27" s="7"/>
      <c r="M27" s="8">
        <f>IF(OR(I27="",K27&lt;&gt;""),"",I27-TODAY())</f>
      </c>
      <c r="N27" s="8">
        <f>IF(E27="","",IF(K27&lt;&gt;"",IF(L27="","Preuve à joindre","Levée"),IF(I27="","À planifier",IF(M27&lt;0,"En retard","En cours"))))</f>
      </c>
    </row>
    <row r="28" spans="1:14" x14ac:dyDescent="0.25">
      <c r="A28" s="5">
        <v>24</v>
      </c>
      <c r="B28" s="6"/>
      <c r="C28" s="5"/>
      <c r="D28" s="5"/>
      <c r="E28" s="7"/>
      <c r="F28" s="5"/>
      <c r="G28" s="7"/>
      <c r="H28" s="5"/>
      <c r="I28" s="6"/>
      <c r="J28" s="5"/>
      <c r="K28" s="6"/>
      <c r="L28" s="7"/>
      <c r="M28" s="8">
        <f>IF(OR(I28="",K28&lt;&gt;""),"",I28-TODAY())</f>
      </c>
      <c r="N28" s="8">
        <f>IF(E28="","",IF(K28&lt;&gt;"",IF(L28="","Preuve à joindre","Levée"),IF(I28="","À planifier",IF(M28&lt;0,"En retard","En cours"))))</f>
      </c>
    </row>
    <row r="29" spans="1:14" x14ac:dyDescent="0.25">
      <c r="A29" s="5">
        <v>25</v>
      </c>
      <c r="B29" s="6"/>
      <c r="C29" s="5"/>
      <c r="D29" s="5"/>
      <c r="E29" s="7"/>
      <c r="F29" s="5"/>
      <c r="G29" s="7"/>
      <c r="H29" s="5"/>
      <c r="I29" s="6"/>
      <c r="J29" s="5"/>
      <c r="K29" s="6"/>
      <c r="L29" s="7"/>
      <c r="M29" s="8">
        <f>IF(OR(I29="",K29&lt;&gt;""),"",I29-TODAY())</f>
      </c>
      <c r="N29" s="8">
        <f>IF(E29="","",IF(K29&lt;&gt;"",IF(L29="","Preuve à joindre","Levée"),IF(I29="","À planifier",IF(M29&lt;0,"En retard","En cours"))))</f>
      </c>
    </row>
    <row r="30" spans="1:14" x14ac:dyDescent="0.25">
      <c r="A30" s="5">
        <v>26</v>
      </c>
      <c r="B30" s="6"/>
      <c r="C30" s="5"/>
      <c r="D30" s="5"/>
      <c r="E30" s="7"/>
      <c r="F30" s="5"/>
      <c r="G30" s="7"/>
      <c r="H30" s="5"/>
      <c r="I30" s="6"/>
      <c r="J30" s="5"/>
      <c r="K30" s="6"/>
      <c r="L30" s="7"/>
      <c r="M30" s="8">
        <f>IF(OR(I30="",K30&lt;&gt;""),"",I30-TODAY())</f>
      </c>
      <c r="N30" s="8">
        <f>IF(E30="","",IF(K30&lt;&gt;"",IF(L30="","Preuve à joindre","Levée"),IF(I30="","À planifier",IF(M30&lt;0,"En retard","En cours"))))</f>
      </c>
    </row>
    <row r="31" spans="1:14" x14ac:dyDescent="0.25">
      <c r="A31" s="5">
        <v>27</v>
      </c>
      <c r="B31" s="6"/>
      <c r="C31" s="5"/>
      <c r="D31" s="5"/>
      <c r="E31" s="7"/>
      <c r="F31" s="5"/>
      <c r="G31" s="7"/>
      <c r="H31" s="5"/>
      <c r="I31" s="6"/>
      <c r="J31" s="5"/>
      <c r="K31" s="6"/>
      <c r="L31" s="7"/>
      <c r="M31" s="8">
        <f>IF(OR(I31="",K31&lt;&gt;""),"",I31-TODAY())</f>
      </c>
      <c r="N31" s="8">
        <f>IF(E31="","",IF(K31&lt;&gt;"",IF(L31="","Preuve à joindre","Levée"),IF(I31="","À planifier",IF(M31&lt;0,"En retard","En cours"))))</f>
      </c>
    </row>
    <row r="32" spans="1:14" x14ac:dyDescent="0.25">
      <c r="A32" s="5">
        <v>28</v>
      </c>
      <c r="B32" s="6"/>
      <c r="C32" s="5"/>
      <c r="D32" s="5"/>
      <c r="E32" s="7"/>
      <c r="F32" s="5"/>
      <c r="G32" s="7"/>
      <c r="H32" s="5"/>
      <c r="I32" s="6"/>
      <c r="J32" s="5"/>
      <c r="K32" s="6"/>
      <c r="L32" s="7"/>
      <c r="M32" s="8">
        <f>IF(OR(I32="",K32&lt;&gt;""),"",I32-TODAY())</f>
      </c>
      <c r="N32" s="8">
        <f>IF(E32="","",IF(K32&lt;&gt;"",IF(L32="","Preuve à joindre","Levée"),IF(I32="","À planifier",IF(M32&lt;0,"En retard","En cours"))))</f>
      </c>
    </row>
    <row r="33" spans="1:14" x14ac:dyDescent="0.25">
      <c r="A33" s="5">
        <v>29</v>
      </c>
      <c r="B33" s="6"/>
      <c r="C33" s="5"/>
      <c r="D33" s="5"/>
      <c r="E33" s="7"/>
      <c r="F33" s="5"/>
      <c r="G33" s="7"/>
      <c r="H33" s="5"/>
      <c r="I33" s="6"/>
      <c r="J33" s="5"/>
      <c r="K33" s="6"/>
      <c r="L33" s="7"/>
      <c r="M33" s="8">
        <f>IF(OR(I33="",K33&lt;&gt;""),"",I33-TODAY())</f>
      </c>
      <c r="N33" s="8">
        <f>IF(E33="","",IF(K33&lt;&gt;"",IF(L33="","Preuve à joindre","Levée"),IF(I33="","À planifier",IF(M33&lt;0,"En retard","En cours"))))</f>
      </c>
    </row>
    <row r="34" spans="1:14" x14ac:dyDescent="0.25">
      <c r="A34" s="5">
        <v>30</v>
      </c>
      <c r="B34" s="6"/>
      <c r="C34" s="5"/>
      <c r="D34" s="5"/>
      <c r="E34" s="7"/>
      <c r="F34" s="5"/>
      <c r="G34" s="7"/>
      <c r="H34" s="5"/>
      <c r="I34" s="6"/>
      <c r="J34" s="5"/>
      <c r="K34" s="6"/>
      <c r="L34" s="7"/>
      <c r="M34" s="8">
        <f>IF(OR(I34="",K34&lt;&gt;""),"",I34-TODAY())</f>
      </c>
      <c r="N34" s="8">
        <f>IF(E34="","",IF(K34&lt;&gt;"",IF(L34="","Preuve à joindre","Levée"),IF(I34="","À planifier",IF(M34&lt;0,"En retard","En cours"))))</f>
      </c>
    </row>
    <row r="35" spans="1:14" x14ac:dyDescent="0.25">
      <c r="A35" s="5">
        <v>31</v>
      </c>
      <c r="B35" s="6"/>
      <c r="C35" s="5"/>
      <c r="D35" s="5"/>
      <c r="E35" s="7"/>
      <c r="F35" s="5"/>
      <c r="G35" s="7"/>
      <c r="H35" s="5"/>
      <c r="I35" s="6"/>
      <c r="J35" s="5"/>
      <c r="K35" s="6"/>
      <c r="L35" s="7"/>
      <c r="M35" s="8">
        <f>IF(OR(I35="",K35&lt;&gt;""),"",I35-TODAY())</f>
      </c>
      <c r="N35" s="8">
        <f>IF(E35="","",IF(K35&lt;&gt;"",IF(L35="","Preuve à joindre","Levée"),IF(I35="","À planifier",IF(M35&lt;0,"En retard","En cours"))))</f>
      </c>
    </row>
    <row r="36" spans="1:14" x14ac:dyDescent="0.25">
      <c r="A36" s="5">
        <v>32</v>
      </c>
      <c r="B36" s="6"/>
      <c r="C36" s="5"/>
      <c r="D36" s="5"/>
      <c r="E36" s="7"/>
      <c r="F36" s="5"/>
      <c r="G36" s="7"/>
      <c r="H36" s="5"/>
      <c r="I36" s="6"/>
      <c r="J36" s="5"/>
      <c r="K36" s="6"/>
      <c r="L36" s="7"/>
      <c r="M36" s="8">
        <f>IF(OR(I36="",K36&lt;&gt;""),"",I36-TODAY())</f>
      </c>
      <c r="N36" s="8">
        <f>IF(E36="","",IF(K36&lt;&gt;"",IF(L36="","Preuve à joindre","Levée"),IF(I36="","À planifier",IF(M36&lt;0,"En retard","En cours"))))</f>
      </c>
    </row>
    <row r="37" spans="1:14" x14ac:dyDescent="0.25">
      <c r="A37" s="5">
        <v>33</v>
      </c>
      <c r="B37" s="6"/>
      <c r="C37" s="5"/>
      <c r="D37" s="5"/>
      <c r="E37" s="7"/>
      <c r="F37" s="5"/>
      <c r="G37" s="7"/>
      <c r="H37" s="5"/>
      <c r="I37" s="6"/>
      <c r="J37" s="5"/>
      <c r="K37" s="6"/>
      <c r="L37" s="7"/>
      <c r="M37" s="8">
        <f>IF(OR(I37="",K37&lt;&gt;""),"",I37-TODAY())</f>
      </c>
      <c r="N37" s="8">
        <f>IF(E37="","",IF(K37&lt;&gt;"",IF(L37="","Preuve à joindre","Levée"),IF(I37="","À planifier",IF(M37&lt;0,"En retard","En cours"))))</f>
      </c>
    </row>
    <row r="38" spans="1:14" x14ac:dyDescent="0.25">
      <c r="A38" s="5">
        <v>34</v>
      </c>
      <c r="B38" s="6"/>
      <c r="C38" s="5"/>
      <c r="D38" s="5"/>
      <c r="E38" s="7"/>
      <c r="F38" s="5"/>
      <c r="G38" s="7"/>
      <c r="H38" s="5"/>
      <c r="I38" s="6"/>
      <c r="J38" s="5"/>
      <c r="K38" s="6"/>
      <c r="L38" s="7"/>
      <c r="M38" s="8">
        <f>IF(OR(I38="",K38&lt;&gt;""),"",I38-TODAY())</f>
      </c>
      <c r="N38" s="8">
        <f>IF(E38="","",IF(K38&lt;&gt;"",IF(L38="","Preuve à joindre","Levée"),IF(I38="","À planifier",IF(M38&lt;0,"En retard","En cours"))))</f>
      </c>
    </row>
    <row r="39" spans="1:14" x14ac:dyDescent="0.25">
      <c r="A39" s="5">
        <v>35</v>
      </c>
      <c r="B39" s="6"/>
      <c r="C39" s="5"/>
      <c r="D39" s="5"/>
      <c r="E39" s="7"/>
      <c r="F39" s="5"/>
      <c r="G39" s="7"/>
      <c r="H39" s="5"/>
      <c r="I39" s="6"/>
      <c r="J39" s="5"/>
      <c r="K39" s="6"/>
      <c r="L39" s="7"/>
      <c r="M39" s="8">
        <f>IF(OR(I39="",K39&lt;&gt;""),"",I39-TODAY())</f>
      </c>
      <c r="N39" s="8">
        <f>IF(E39="","",IF(K39&lt;&gt;"",IF(L39="","Preuve à joindre","Levée"),IF(I39="","À planifier",IF(M39&lt;0,"En retard","En cours"))))</f>
      </c>
    </row>
    <row r="40" spans="1:14" x14ac:dyDescent="0.25">
      <c r="A40" s="5">
        <v>36</v>
      </c>
      <c r="B40" s="6"/>
      <c r="C40" s="5"/>
      <c r="D40" s="5"/>
      <c r="E40" s="7"/>
      <c r="F40" s="5"/>
      <c r="G40" s="7"/>
      <c r="H40" s="5"/>
      <c r="I40" s="6"/>
      <c r="J40" s="5"/>
      <c r="K40" s="6"/>
      <c r="L40" s="7"/>
      <c r="M40" s="8">
        <f>IF(OR(I40="",K40&lt;&gt;""),"",I40-TODAY())</f>
      </c>
      <c r="N40" s="8">
        <f>IF(E40="","",IF(K40&lt;&gt;"",IF(L40="","Preuve à joindre","Levée"),IF(I40="","À planifier",IF(M40&lt;0,"En retard","En cours"))))</f>
      </c>
    </row>
    <row r="41" spans="1:14" x14ac:dyDescent="0.25">
      <c r="A41" s="5">
        <v>37</v>
      </c>
      <c r="B41" s="6"/>
      <c r="C41" s="5"/>
      <c r="D41" s="5"/>
      <c r="E41" s="7"/>
      <c r="F41" s="5"/>
      <c r="G41" s="7"/>
      <c r="H41" s="5"/>
      <c r="I41" s="6"/>
      <c r="J41" s="5"/>
      <c r="K41" s="6"/>
      <c r="L41" s="7"/>
      <c r="M41" s="8">
        <f>IF(OR(I41="",K41&lt;&gt;""),"",I41-TODAY())</f>
      </c>
      <c r="N41" s="8">
        <f>IF(E41="","",IF(K41&lt;&gt;"",IF(L41="","Preuve à joindre","Levée"),IF(I41="","À planifier",IF(M41&lt;0,"En retard","En cours"))))</f>
      </c>
    </row>
    <row r="42" spans="1:14" x14ac:dyDescent="0.25">
      <c r="A42" s="5">
        <v>38</v>
      </c>
      <c r="B42" s="6"/>
      <c r="C42" s="5"/>
      <c r="D42" s="5"/>
      <c r="E42" s="7"/>
      <c r="F42" s="5"/>
      <c r="G42" s="7"/>
      <c r="H42" s="5"/>
      <c r="I42" s="6"/>
      <c r="J42" s="5"/>
      <c r="K42" s="6"/>
      <c r="L42" s="7"/>
      <c r="M42" s="8">
        <f>IF(OR(I42="",K42&lt;&gt;""),"",I42-TODAY())</f>
      </c>
      <c r="N42" s="8">
        <f>IF(E42="","",IF(K42&lt;&gt;"",IF(L42="","Preuve à joindre","Levée"),IF(I42="","À planifier",IF(M42&lt;0,"En retard","En cours"))))</f>
      </c>
    </row>
    <row r="43" spans="1:14" x14ac:dyDescent="0.25">
      <c r="A43" s="5">
        <v>39</v>
      </c>
      <c r="B43" s="6"/>
      <c r="C43" s="5"/>
      <c r="D43" s="5"/>
      <c r="E43" s="7"/>
      <c r="F43" s="5"/>
      <c r="G43" s="7"/>
      <c r="H43" s="5"/>
      <c r="I43" s="6"/>
      <c r="J43" s="5"/>
      <c r="K43" s="6"/>
      <c r="L43" s="7"/>
      <c r="M43" s="8">
        <f>IF(OR(I43="",K43&lt;&gt;""),"",I43-TODAY())</f>
      </c>
      <c r="N43" s="8">
        <f>IF(E43="","",IF(K43&lt;&gt;"",IF(L43="","Preuve à joindre","Levée"),IF(I43="","À planifier",IF(M43&lt;0,"En retard","En cours"))))</f>
      </c>
    </row>
    <row r="44" spans="1:14" x14ac:dyDescent="0.25">
      <c r="A44" s="5">
        <v>40</v>
      </c>
      <c r="B44" s="6"/>
      <c r="C44" s="5"/>
      <c r="D44" s="5"/>
      <c r="E44" s="7"/>
      <c r="F44" s="5"/>
      <c r="G44" s="7"/>
      <c r="H44" s="5"/>
      <c r="I44" s="6"/>
      <c r="J44" s="5"/>
      <c r="K44" s="6"/>
      <c r="L44" s="7"/>
      <c r="M44" s="8">
        <f>IF(OR(I44="",K44&lt;&gt;""),"",I44-TODAY())</f>
      </c>
      <c r="N44" s="8">
        <f>IF(E44="","",IF(K44&lt;&gt;"",IF(L44="","Preuve à joindre","Levée"),IF(I44="","À planifier",IF(M44&lt;0,"En retard","En cours"))))</f>
      </c>
    </row>
    <row r="45" spans="1:14" x14ac:dyDescent="0.25">
      <c r="A45" s="5">
        <v>41</v>
      </c>
      <c r="B45" s="6"/>
      <c r="C45" s="5"/>
      <c r="D45" s="5"/>
      <c r="E45" s="7"/>
      <c r="F45" s="5"/>
      <c r="G45" s="7"/>
      <c r="H45" s="5"/>
      <c r="I45" s="6"/>
      <c r="J45" s="5"/>
      <c r="K45" s="6"/>
      <c r="L45" s="7"/>
      <c r="M45" s="8">
        <f>IF(OR(I45="",K45&lt;&gt;""),"",I45-TODAY())</f>
      </c>
      <c r="N45" s="8">
        <f>IF(E45="","",IF(K45&lt;&gt;"",IF(L45="","Preuve à joindre","Levée"),IF(I45="","À planifier",IF(M45&lt;0,"En retard","En cours"))))</f>
      </c>
    </row>
    <row r="46" spans="1:14" x14ac:dyDescent="0.25">
      <c r="A46" s="5">
        <v>42</v>
      </c>
      <c r="B46" s="6"/>
      <c r="C46" s="5"/>
      <c r="D46" s="5"/>
      <c r="E46" s="7"/>
      <c r="F46" s="5"/>
      <c r="G46" s="7"/>
      <c r="H46" s="5"/>
      <c r="I46" s="6"/>
      <c r="J46" s="5"/>
      <c r="K46" s="6"/>
      <c r="L46" s="7"/>
      <c r="M46" s="8">
        <f>IF(OR(I46="",K46&lt;&gt;""),"",I46-TODAY())</f>
      </c>
      <c r="N46" s="8">
        <f>IF(E46="","",IF(K46&lt;&gt;"",IF(L46="","Preuve à joindre","Levée"),IF(I46="","À planifier",IF(M46&lt;0,"En retard","En cours"))))</f>
      </c>
    </row>
    <row r="47" spans="1:14" x14ac:dyDescent="0.25">
      <c r="A47" s="5">
        <v>43</v>
      </c>
      <c r="B47" s="6"/>
      <c r="C47" s="5"/>
      <c r="D47" s="5"/>
      <c r="E47" s="7"/>
      <c r="F47" s="5"/>
      <c r="G47" s="7"/>
      <c r="H47" s="5"/>
      <c r="I47" s="6"/>
      <c r="J47" s="5"/>
      <c r="K47" s="6"/>
      <c r="L47" s="7"/>
      <c r="M47" s="8">
        <f>IF(OR(I47="",K47&lt;&gt;""),"",I47-TODAY())</f>
      </c>
      <c r="N47" s="8">
        <f>IF(E47="","",IF(K47&lt;&gt;"",IF(L47="","Preuve à joindre","Levée"),IF(I47="","À planifier",IF(M47&lt;0,"En retard","En cours"))))</f>
      </c>
    </row>
    <row r="48" spans="1:14" x14ac:dyDescent="0.25">
      <c r="A48" s="5">
        <v>44</v>
      </c>
      <c r="B48" s="6"/>
      <c r="C48" s="5"/>
      <c r="D48" s="5"/>
      <c r="E48" s="7"/>
      <c r="F48" s="5"/>
      <c r="G48" s="7"/>
      <c r="H48" s="5"/>
      <c r="I48" s="6"/>
      <c r="J48" s="5"/>
      <c r="K48" s="6"/>
      <c r="L48" s="7"/>
      <c r="M48" s="8">
        <f>IF(OR(I48="",K48&lt;&gt;""),"",I48-TODAY())</f>
      </c>
      <c r="N48" s="8">
        <f>IF(E48="","",IF(K48&lt;&gt;"",IF(L48="","Preuve à joindre","Levée"),IF(I48="","À planifier",IF(M48&lt;0,"En retard","En cours"))))</f>
      </c>
    </row>
    <row r="49" spans="1:14" x14ac:dyDescent="0.25">
      <c r="A49" s="5">
        <v>45</v>
      </c>
      <c r="B49" s="6"/>
      <c r="C49" s="5"/>
      <c r="D49" s="5"/>
      <c r="E49" s="7"/>
      <c r="F49" s="5"/>
      <c r="G49" s="7"/>
      <c r="H49" s="5"/>
      <c r="I49" s="6"/>
      <c r="J49" s="5"/>
      <c r="K49" s="6"/>
      <c r="L49" s="7"/>
      <c r="M49" s="8">
        <f>IF(OR(I49="",K49&lt;&gt;""),"",I49-TODAY())</f>
      </c>
      <c r="N49" s="8">
        <f>IF(E49="","",IF(K49&lt;&gt;"",IF(L49="","Preuve à joindre","Levée"),IF(I49="","À planifier",IF(M49&lt;0,"En retard","En cours"))))</f>
      </c>
    </row>
    <row r="50" spans="1:14" x14ac:dyDescent="0.25">
      <c r="A50" s="5">
        <v>46</v>
      </c>
      <c r="B50" s="6"/>
      <c r="C50" s="5"/>
      <c r="D50" s="5"/>
      <c r="E50" s="7"/>
      <c r="F50" s="5"/>
      <c r="G50" s="7"/>
      <c r="H50" s="5"/>
      <c r="I50" s="6"/>
      <c r="J50" s="5"/>
      <c r="K50" s="6"/>
      <c r="L50" s="7"/>
      <c r="M50" s="8">
        <f>IF(OR(I50="",K50&lt;&gt;""),"",I50-TODAY())</f>
      </c>
      <c r="N50" s="8">
        <f>IF(E50="","",IF(K50&lt;&gt;"",IF(L50="","Preuve à joindre","Levée"),IF(I50="","À planifier",IF(M50&lt;0,"En retard","En cours"))))</f>
      </c>
    </row>
    <row r="51" spans="1:14" x14ac:dyDescent="0.25">
      <c r="A51" s="5">
        <v>47</v>
      </c>
      <c r="B51" s="6"/>
      <c r="C51" s="5"/>
      <c r="D51" s="5"/>
      <c r="E51" s="7"/>
      <c r="F51" s="5"/>
      <c r="G51" s="7"/>
      <c r="H51" s="5"/>
      <c r="I51" s="6"/>
      <c r="J51" s="5"/>
      <c r="K51" s="6"/>
      <c r="L51" s="7"/>
      <c r="M51" s="8">
        <f>IF(OR(I51="",K51&lt;&gt;""),"",I51-TODAY())</f>
      </c>
      <c r="N51" s="8">
        <f>IF(E51="","",IF(K51&lt;&gt;"",IF(L51="","Preuve à joindre","Levée"),IF(I51="","À planifier",IF(M51&lt;0,"En retard","En cours"))))</f>
      </c>
    </row>
    <row r="52" spans="1:14" x14ac:dyDescent="0.25">
      <c r="A52" s="5">
        <v>48</v>
      </c>
      <c r="B52" s="6"/>
      <c r="C52" s="5"/>
      <c r="D52" s="5"/>
      <c r="E52" s="7"/>
      <c r="F52" s="5"/>
      <c r="G52" s="7"/>
      <c r="H52" s="5"/>
      <c r="I52" s="6"/>
      <c r="J52" s="5"/>
      <c r="K52" s="6"/>
      <c r="L52" s="7"/>
      <c r="M52" s="8">
        <f>IF(OR(I52="",K52&lt;&gt;""),"",I52-TODAY())</f>
      </c>
      <c r="N52" s="8">
        <f>IF(E52="","",IF(K52&lt;&gt;"",IF(L52="","Preuve à joindre","Levée"),IF(I52="","À planifier",IF(M52&lt;0,"En retard","En cours"))))</f>
      </c>
    </row>
    <row r="53" spans="1:14" x14ac:dyDescent="0.25">
      <c r="A53" s="5">
        <v>49</v>
      </c>
      <c r="B53" s="6"/>
      <c r="C53" s="5"/>
      <c r="D53" s="5"/>
      <c r="E53" s="7"/>
      <c r="F53" s="5"/>
      <c r="G53" s="7"/>
      <c r="H53" s="5"/>
      <c r="I53" s="6"/>
      <c r="J53" s="5"/>
      <c r="K53" s="6"/>
      <c r="L53" s="7"/>
      <c r="M53" s="8">
        <f>IF(OR(I53="",K53&lt;&gt;""),"",I53-TODAY())</f>
      </c>
      <c r="N53" s="8">
        <f>IF(E53="","",IF(K53&lt;&gt;"",IF(L53="","Preuve à joindre","Levée"),IF(I53="","À planifier",IF(M53&lt;0,"En retard","En cours"))))</f>
      </c>
    </row>
    <row r="54" spans="1:14" x14ac:dyDescent="0.25">
      <c r="A54" s="5">
        <v>50</v>
      </c>
      <c r="B54" s="6"/>
      <c r="C54" s="5"/>
      <c r="D54" s="5"/>
      <c r="E54" s="7"/>
      <c r="F54" s="5"/>
      <c r="G54" s="7"/>
      <c r="H54" s="5"/>
      <c r="I54" s="6"/>
      <c r="J54" s="5"/>
      <c r="K54" s="6"/>
      <c r="L54" s="7"/>
      <c r="M54" s="8">
        <f>IF(OR(I54="",K54&lt;&gt;""),"",I54-TODAY())</f>
      </c>
      <c r="N54" s="8">
        <f>IF(E54="","",IF(K54&lt;&gt;"",IF(L54="","Preuve à joindre","Levée"),IF(I54="","À planifier",IF(M54&lt;0,"En retard","En cours"))))</f>
      </c>
    </row>
    <row r="55" spans="1:14" x14ac:dyDescent="0.25">
      <c r="A55" s="5">
        <v>51</v>
      </c>
      <c r="B55" s="6"/>
      <c r="C55" s="5"/>
      <c r="D55" s="5"/>
      <c r="E55" s="7"/>
      <c r="F55" s="5"/>
      <c r="G55" s="7"/>
      <c r="H55" s="5"/>
      <c r="I55" s="6"/>
      <c r="J55" s="5"/>
      <c r="K55" s="6"/>
      <c r="L55" s="7"/>
      <c r="M55" s="8">
        <f>IF(OR(I55="",K55&lt;&gt;""),"",I55-TODAY())</f>
      </c>
      <c r="N55" s="8">
        <f>IF(E55="","",IF(K55&lt;&gt;"",IF(L55="","Preuve à joindre","Levée"),IF(I55="","À planifier",IF(M55&lt;0,"En retard","En cours"))))</f>
      </c>
    </row>
    <row r="56" spans="1:14" x14ac:dyDescent="0.25">
      <c r="A56" s="5">
        <v>52</v>
      </c>
      <c r="B56" s="6"/>
      <c r="C56" s="5"/>
      <c r="D56" s="5"/>
      <c r="E56" s="7"/>
      <c r="F56" s="5"/>
      <c r="G56" s="7"/>
      <c r="H56" s="5"/>
      <c r="I56" s="6"/>
      <c r="J56" s="5"/>
      <c r="K56" s="6"/>
      <c r="L56" s="7"/>
      <c r="M56" s="8">
        <f>IF(OR(I56="",K56&lt;&gt;""),"",I56-TODAY())</f>
      </c>
      <c r="N56" s="8">
        <f>IF(E56="","",IF(K56&lt;&gt;"",IF(L56="","Preuve à joindre","Levée"),IF(I56="","À planifier",IF(M56&lt;0,"En retard","En cours"))))</f>
      </c>
    </row>
    <row r="57" spans="1:14" x14ac:dyDescent="0.25">
      <c r="A57" s="5">
        <v>53</v>
      </c>
      <c r="B57" s="6"/>
      <c r="C57" s="5"/>
      <c r="D57" s="5"/>
      <c r="E57" s="7"/>
      <c r="F57" s="5"/>
      <c r="G57" s="7"/>
      <c r="H57" s="5"/>
      <c r="I57" s="6"/>
      <c r="J57" s="5"/>
      <c r="K57" s="6"/>
      <c r="L57" s="7"/>
      <c r="M57" s="8">
        <f>IF(OR(I57="",K57&lt;&gt;""),"",I57-TODAY())</f>
      </c>
      <c r="N57" s="8">
        <f>IF(E57="","",IF(K57&lt;&gt;"",IF(L57="","Preuve à joindre","Levée"),IF(I57="","À planifier",IF(M57&lt;0,"En retard","En cours"))))</f>
      </c>
    </row>
    <row r="58" spans="1:14" x14ac:dyDescent="0.25">
      <c r="A58" s="5">
        <v>54</v>
      </c>
      <c r="B58" s="6"/>
      <c r="C58" s="5"/>
      <c r="D58" s="5"/>
      <c r="E58" s="7"/>
      <c r="F58" s="5"/>
      <c r="G58" s="7"/>
      <c r="H58" s="5"/>
      <c r="I58" s="6"/>
      <c r="J58" s="5"/>
      <c r="K58" s="6"/>
      <c r="L58" s="7"/>
      <c r="M58" s="8">
        <f>IF(OR(I58="",K58&lt;&gt;""),"",I58-TODAY())</f>
      </c>
      <c r="N58" s="8">
        <f>IF(E58="","",IF(K58&lt;&gt;"",IF(L58="","Preuve à joindre","Levée"),IF(I58="","À planifier",IF(M58&lt;0,"En retard","En cours"))))</f>
      </c>
    </row>
    <row r="59" spans="1:14" x14ac:dyDescent="0.25">
      <c r="A59" s="5">
        <v>55</v>
      </c>
      <c r="B59" s="6"/>
      <c r="C59" s="5"/>
      <c r="D59" s="5"/>
      <c r="E59" s="7"/>
      <c r="F59" s="5"/>
      <c r="G59" s="7"/>
      <c r="H59" s="5"/>
      <c r="I59" s="6"/>
      <c r="J59" s="5"/>
      <c r="K59" s="6"/>
      <c r="L59" s="7"/>
      <c r="M59" s="8">
        <f>IF(OR(I59="",K59&lt;&gt;""),"",I59-TODAY())</f>
      </c>
      <c r="N59" s="8">
        <f>IF(E59="","",IF(K59&lt;&gt;"",IF(L59="","Preuve à joindre","Levée"),IF(I59="","À planifier",IF(M59&lt;0,"En retard","En cours"))))</f>
      </c>
    </row>
    <row r="60" spans="1:14" x14ac:dyDescent="0.25">
      <c r="A60" s="5">
        <v>56</v>
      </c>
      <c r="B60" s="6"/>
      <c r="C60" s="5"/>
      <c r="D60" s="5"/>
      <c r="E60" s="7"/>
      <c r="F60" s="5"/>
      <c r="G60" s="7"/>
      <c r="H60" s="5"/>
      <c r="I60" s="6"/>
      <c r="J60" s="5"/>
      <c r="K60" s="6"/>
      <c r="L60" s="7"/>
      <c r="M60" s="8">
        <f>IF(OR(I60="",K60&lt;&gt;""),"",I60-TODAY())</f>
      </c>
      <c r="N60" s="8">
        <f>IF(E60="","",IF(K60&lt;&gt;"",IF(L60="","Preuve à joindre","Levée"),IF(I60="","À planifier",IF(M60&lt;0,"En retard","En cours"))))</f>
      </c>
    </row>
    <row r="61" spans="1:14" x14ac:dyDescent="0.25">
      <c r="A61" s="5">
        <v>57</v>
      </c>
      <c r="B61" s="6"/>
      <c r="C61" s="5"/>
      <c r="D61" s="5"/>
      <c r="E61" s="7"/>
      <c r="F61" s="5"/>
      <c r="G61" s="7"/>
      <c r="H61" s="5"/>
      <c r="I61" s="6"/>
      <c r="J61" s="5"/>
      <c r="K61" s="6"/>
      <c r="L61" s="7"/>
      <c r="M61" s="8">
        <f>IF(OR(I61="",K61&lt;&gt;""),"",I61-TODAY())</f>
      </c>
      <c r="N61" s="8">
        <f>IF(E61="","",IF(K61&lt;&gt;"",IF(L61="","Preuve à joindre","Levée"),IF(I61="","À planifier",IF(M61&lt;0,"En retard","En cours"))))</f>
      </c>
    </row>
    <row r="62" spans="1:14" x14ac:dyDescent="0.25">
      <c r="A62" s="5">
        <v>58</v>
      </c>
      <c r="B62" s="6"/>
      <c r="C62" s="5"/>
      <c r="D62" s="5"/>
      <c r="E62" s="7"/>
      <c r="F62" s="5"/>
      <c r="G62" s="7"/>
      <c r="H62" s="5"/>
      <c r="I62" s="6"/>
      <c r="J62" s="5"/>
      <c r="K62" s="6"/>
      <c r="L62" s="7"/>
      <c r="M62" s="8">
        <f>IF(OR(I62="",K62&lt;&gt;""),"",I62-TODAY())</f>
      </c>
      <c r="N62" s="8">
        <f>IF(E62="","",IF(K62&lt;&gt;"",IF(L62="","Preuve à joindre","Levée"),IF(I62="","À planifier",IF(M62&lt;0,"En retard","En cours"))))</f>
      </c>
    </row>
    <row r="63" spans="1:14" x14ac:dyDescent="0.25">
      <c r="A63" s="5">
        <v>59</v>
      </c>
      <c r="B63" s="6"/>
      <c r="C63" s="5"/>
      <c r="D63" s="5"/>
      <c r="E63" s="7"/>
      <c r="F63" s="5"/>
      <c r="G63" s="7"/>
      <c r="H63" s="5"/>
      <c r="I63" s="6"/>
      <c r="J63" s="5"/>
      <c r="K63" s="6"/>
      <c r="L63" s="7"/>
      <c r="M63" s="8">
        <f>IF(OR(I63="",K63&lt;&gt;""),"",I63-TODAY())</f>
      </c>
      <c r="N63" s="8">
        <f>IF(E63="","",IF(K63&lt;&gt;"",IF(L63="","Preuve à joindre","Levée"),IF(I63="","À planifier",IF(M63&lt;0,"En retard","En cours"))))</f>
      </c>
    </row>
    <row r="64" spans="1:14" x14ac:dyDescent="0.25">
      <c r="A64" s="5">
        <v>60</v>
      </c>
      <c r="B64" s="6"/>
      <c r="C64" s="5"/>
      <c r="D64" s="5"/>
      <c r="E64" s="7"/>
      <c r="F64" s="5"/>
      <c r="G64" s="7"/>
      <c r="H64" s="5"/>
      <c r="I64" s="6"/>
      <c r="J64" s="5"/>
      <c r="K64" s="6"/>
      <c r="L64" s="7"/>
      <c r="M64" s="8">
        <f>IF(OR(I64="",K64&lt;&gt;""),"",I64-TODAY())</f>
      </c>
      <c r="N64" s="8">
        <f>IF(E64="","",IF(K64&lt;&gt;"",IF(L64="","Preuve à joindre","Levée"),IF(I64="","À planifier",IF(M64&lt;0,"En retard","En cours"))))</f>
      </c>
    </row>
    <row r="65" spans="1:14" x14ac:dyDescent="0.25">
      <c r="A65" s="5">
        <v>61</v>
      </c>
      <c r="B65" s="6"/>
      <c r="C65" s="5"/>
      <c r="D65" s="5"/>
      <c r="E65" s="7"/>
      <c r="F65" s="5"/>
      <c r="G65" s="7"/>
      <c r="H65" s="5"/>
      <c r="I65" s="6"/>
      <c r="J65" s="5"/>
      <c r="K65" s="6"/>
      <c r="L65" s="7"/>
      <c r="M65" s="8">
        <f>IF(OR(I65="",K65&lt;&gt;""),"",I65-TODAY())</f>
      </c>
      <c r="N65" s="8">
        <f>IF(E65="","",IF(K65&lt;&gt;"",IF(L65="","Preuve à joindre","Levée"),IF(I65="","À planifier",IF(M65&lt;0,"En retard","En cours"))))</f>
      </c>
    </row>
    <row r="66" spans="1:14" x14ac:dyDescent="0.25">
      <c r="A66" s="5">
        <v>62</v>
      </c>
      <c r="B66" s="6"/>
      <c r="C66" s="5"/>
      <c r="D66" s="5"/>
      <c r="E66" s="7"/>
      <c r="F66" s="5"/>
      <c r="G66" s="7"/>
      <c r="H66" s="5"/>
      <c r="I66" s="6"/>
      <c r="J66" s="5"/>
      <c r="K66" s="6"/>
      <c r="L66" s="7"/>
      <c r="M66" s="8">
        <f>IF(OR(I66="",K66&lt;&gt;""),"",I66-TODAY())</f>
      </c>
      <c r="N66" s="8">
        <f>IF(E66="","",IF(K66&lt;&gt;"",IF(L66="","Preuve à joindre","Levée"),IF(I66="","À planifier",IF(M66&lt;0,"En retard","En cours"))))</f>
      </c>
    </row>
    <row r="67" spans="1:14" x14ac:dyDescent="0.25">
      <c r="A67" s="5">
        <v>63</v>
      </c>
      <c r="B67" s="6"/>
      <c r="C67" s="5"/>
      <c r="D67" s="5"/>
      <c r="E67" s="7"/>
      <c r="F67" s="5"/>
      <c r="G67" s="7"/>
      <c r="H67" s="5"/>
      <c r="I67" s="6"/>
      <c r="J67" s="5"/>
      <c r="K67" s="6"/>
      <c r="L67" s="7"/>
      <c r="M67" s="8">
        <f>IF(OR(I67="",K67&lt;&gt;""),"",I67-TODAY())</f>
      </c>
      <c r="N67" s="8">
        <f>IF(E67="","",IF(K67&lt;&gt;"",IF(L67="","Preuve à joindre","Levée"),IF(I67="","À planifier",IF(M67&lt;0,"En retard","En cours"))))</f>
      </c>
    </row>
    <row r="68" spans="1:14" x14ac:dyDescent="0.25">
      <c r="A68" s="5">
        <v>64</v>
      </c>
      <c r="B68" s="6"/>
      <c r="C68" s="5"/>
      <c r="D68" s="5"/>
      <c r="E68" s="7"/>
      <c r="F68" s="5"/>
      <c r="G68" s="7"/>
      <c r="H68" s="5"/>
      <c r="I68" s="6"/>
      <c r="J68" s="5"/>
      <c r="K68" s="6"/>
      <c r="L68" s="7"/>
      <c r="M68" s="8">
        <f>IF(OR(I68="",K68&lt;&gt;""),"",I68-TODAY())</f>
      </c>
      <c r="N68" s="8">
        <f>IF(E68="","",IF(K68&lt;&gt;"",IF(L68="","Preuve à joindre","Levée"),IF(I68="","À planifier",IF(M68&lt;0,"En retard","En cours"))))</f>
      </c>
    </row>
    <row r="69" spans="1:14" x14ac:dyDescent="0.25">
      <c r="A69" s="5">
        <v>65</v>
      </c>
      <c r="B69" s="6"/>
      <c r="C69" s="5"/>
      <c r="D69" s="5"/>
      <c r="E69" s="7"/>
      <c r="F69" s="5"/>
      <c r="G69" s="7"/>
      <c r="H69" s="5"/>
      <c r="I69" s="6"/>
      <c r="J69" s="5"/>
      <c r="K69" s="6"/>
      <c r="L69" s="7"/>
      <c r="M69" s="8">
        <f>IF(OR(I69="",K69&lt;&gt;""),"",I69-TODAY())</f>
      </c>
      <c r="N69" s="8">
        <f>IF(E69="","",IF(K69&lt;&gt;"",IF(L69="","Preuve à joindre","Levée"),IF(I69="","À planifier",IF(M69&lt;0,"En retard","En cours"))))</f>
      </c>
    </row>
    <row r="70" spans="1:14" x14ac:dyDescent="0.25">
      <c r="A70" s="5">
        <v>66</v>
      </c>
      <c r="B70" s="6"/>
      <c r="C70" s="5"/>
      <c r="D70" s="5"/>
      <c r="E70" s="7"/>
      <c r="F70" s="5"/>
      <c r="G70" s="7"/>
      <c r="H70" s="5"/>
      <c r="I70" s="6"/>
      <c r="J70" s="5"/>
      <c r="K70" s="6"/>
      <c r="L70" s="7"/>
      <c r="M70" s="8">
        <f>IF(OR(I70="",K70&lt;&gt;""),"",I70-TODAY())</f>
      </c>
      <c r="N70" s="8">
        <f>IF(E70="","",IF(K70&lt;&gt;"",IF(L70="","Preuve à joindre","Levée"),IF(I70="","À planifier",IF(M70&lt;0,"En retard","En cours"))))</f>
      </c>
    </row>
    <row r="71" spans="1:14" x14ac:dyDescent="0.25">
      <c r="A71" s="5">
        <v>67</v>
      </c>
      <c r="B71" s="6"/>
      <c r="C71" s="5"/>
      <c r="D71" s="5"/>
      <c r="E71" s="7"/>
      <c r="F71" s="5"/>
      <c r="G71" s="7"/>
      <c r="H71" s="5"/>
      <c r="I71" s="6"/>
      <c r="J71" s="5"/>
      <c r="K71" s="6"/>
      <c r="L71" s="7"/>
      <c r="M71" s="8">
        <f>IF(OR(I71="",K71&lt;&gt;""),"",I71-TODAY())</f>
      </c>
      <c r="N71" s="8">
        <f>IF(E71="","",IF(K71&lt;&gt;"",IF(L71="","Preuve à joindre","Levée"),IF(I71="","À planifier",IF(M71&lt;0,"En retard","En cours"))))</f>
      </c>
    </row>
    <row r="72" spans="1:14" x14ac:dyDescent="0.25">
      <c r="A72" s="5">
        <v>68</v>
      </c>
      <c r="B72" s="6"/>
      <c r="C72" s="5"/>
      <c r="D72" s="5"/>
      <c r="E72" s="7"/>
      <c r="F72" s="5"/>
      <c r="G72" s="7"/>
      <c r="H72" s="5"/>
      <c r="I72" s="6"/>
      <c r="J72" s="5"/>
      <c r="K72" s="6"/>
      <c r="L72" s="7"/>
      <c r="M72" s="8">
        <f>IF(OR(I72="",K72&lt;&gt;""),"",I72-TODAY())</f>
      </c>
      <c r="N72" s="8">
        <f>IF(E72="","",IF(K72&lt;&gt;"",IF(L72="","Preuve à joindre","Levée"),IF(I72="","À planifier",IF(M72&lt;0,"En retard","En cours"))))</f>
      </c>
    </row>
    <row r="73" spans="1:14" x14ac:dyDescent="0.25">
      <c r="A73" s="5">
        <v>69</v>
      </c>
      <c r="B73" s="6"/>
      <c r="C73" s="5"/>
      <c r="D73" s="5"/>
      <c r="E73" s="7"/>
      <c r="F73" s="5"/>
      <c r="G73" s="7"/>
      <c r="H73" s="5"/>
      <c r="I73" s="6"/>
      <c r="J73" s="5"/>
      <c r="K73" s="6"/>
      <c r="L73" s="7"/>
      <c r="M73" s="8">
        <f>IF(OR(I73="",K73&lt;&gt;""),"",I73-TODAY())</f>
      </c>
      <c r="N73" s="8">
        <f>IF(E73="","",IF(K73&lt;&gt;"",IF(L73="","Preuve à joindre","Levée"),IF(I73="","À planifier",IF(M73&lt;0,"En retard","En cours"))))</f>
      </c>
    </row>
    <row r="74" spans="1:14" x14ac:dyDescent="0.25">
      <c r="A74" s="5">
        <v>70</v>
      </c>
      <c r="B74" s="6"/>
      <c r="C74" s="5"/>
      <c r="D74" s="5"/>
      <c r="E74" s="7"/>
      <c r="F74" s="5"/>
      <c r="G74" s="7"/>
      <c r="H74" s="5"/>
      <c r="I74" s="6"/>
      <c r="J74" s="5"/>
      <c r="K74" s="6"/>
      <c r="L74" s="7"/>
      <c r="M74" s="8">
        <f>IF(OR(I74="",K74&lt;&gt;""),"",I74-TODAY())</f>
      </c>
      <c r="N74" s="8">
        <f>IF(E74="","",IF(K74&lt;&gt;"",IF(L74="","Preuve à joindre","Levée"),IF(I74="","À planifier",IF(M74&lt;0,"En retard","En cours"))))</f>
      </c>
    </row>
    <row r="75" spans="1:14" x14ac:dyDescent="0.25">
      <c r="A75" s="5">
        <v>71</v>
      </c>
      <c r="B75" s="6"/>
      <c r="C75" s="5"/>
      <c r="D75" s="5"/>
      <c r="E75" s="7"/>
      <c r="F75" s="5"/>
      <c r="G75" s="7"/>
      <c r="H75" s="5"/>
      <c r="I75" s="6"/>
      <c r="J75" s="5"/>
      <c r="K75" s="6"/>
      <c r="L75" s="7"/>
      <c r="M75" s="8">
        <f>IF(OR(I75="",K75&lt;&gt;""),"",I75-TODAY())</f>
      </c>
      <c r="N75" s="8">
        <f>IF(E75="","",IF(K75&lt;&gt;"",IF(L75="","Preuve à joindre","Levée"),IF(I75="","À planifier",IF(M75&lt;0,"En retard","En cours"))))</f>
      </c>
    </row>
    <row r="76" spans="1:14" x14ac:dyDescent="0.25">
      <c r="A76" s="5">
        <v>72</v>
      </c>
      <c r="B76" s="6"/>
      <c r="C76" s="5"/>
      <c r="D76" s="5"/>
      <c r="E76" s="7"/>
      <c r="F76" s="5"/>
      <c r="G76" s="7"/>
      <c r="H76" s="5"/>
      <c r="I76" s="6"/>
      <c r="J76" s="5"/>
      <c r="K76" s="6"/>
      <c r="L76" s="7"/>
      <c r="M76" s="8">
        <f>IF(OR(I76="",K76&lt;&gt;""),"",I76-TODAY())</f>
      </c>
      <c r="N76" s="8">
        <f>IF(E76="","",IF(K76&lt;&gt;"",IF(L76="","Preuve à joindre","Levée"),IF(I76="","À planifier",IF(M76&lt;0,"En retard","En cours"))))</f>
      </c>
    </row>
    <row r="77" spans="1:14" x14ac:dyDescent="0.25">
      <c r="A77" s="5">
        <v>73</v>
      </c>
      <c r="B77" s="6"/>
      <c r="C77" s="5"/>
      <c r="D77" s="5"/>
      <c r="E77" s="7"/>
      <c r="F77" s="5"/>
      <c r="G77" s="7"/>
      <c r="H77" s="5"/>
      <c r="I77" s="6"/>
      <c r="J77" s="5"/>
      <c r="K77" s="6"/>
      <c r="L77" s="7"/>
      <c r="M77" s="8">
        <f>IF(OR(I77="",K77&lt;&gt;""),"",I77-TODAY())</f>
      </c>
      <c r="N77" s="8">
        <f>IF(E77="","",IF(K77&lt;&gt;"",IF(L77="","Preuve à joindre","Levée"),IF(I77="","À planifier",IF(M77&lt;0,"En retard","En cours"))))</f>
      </c>
    </row>
    <row r="78" spans="1:14" x14ac:dyDescent="0.25">
      <c r="A78" s="5">
        <v>74</v>
      </c>
      <c r="B78" s="6"/>
      <c r="C78" s="5"/>
      <c r="D78" s="5"/>
      <c r="E78" s="7"/>
      <c r="F78" s="5"/>
      <c r="G78" s="7"/>
      <c r="H78" s="5"/>
      <c r="I78" s="6"/>
      <c r="J78" s="5"/>
      <c r="K78" s="6"/>
      <c r="L78" s="7"/>
      <c r="M78" s="8">
        <f>IF(OR(I78="",K78&lt;&gt;""),"",I78-TODAY())</f>
      </c>
      <c r="N78" s="8">
        <f>IF(E78="","",IF(K78&lt;&gt;"",IF(L78="","Preuve à joindre","Levée"),IF(I78="","À planifier",IF(M78&lt;0,"En retard","En cours"))))</f>
      </c>
    </row>
    <row r="79" spans="1:14" x14ac:dyDescent="0.25">
      <c r="A79" s="5">
        <v>75</v>
      </c>
      <c r="B79" s="6"/>
      <c r="C79" s="5"/>
      <c r="D79" s="5"/>
      <c r="E79" s="7"/>
      <c r="F79" s="5"/>
      <c r="G79" s="7"/>
      <c r="H79" s="5"/>
      <c r="I79" s="6"/>
      <c r="J79" s="5"/>
      <c r="K79" s="6"/>
      <c r="L79" s="7"/>
      <c r="M79" s="8">
        <f>IF(OR(I79="",K79&lt;&gt;""),"",I79-TODAY())</f>
      </c>
      <c r="N79" s="8">
        <f>IF(E79="","",IF(K79&lt;&gt;"",IF(L79="","Preuve à joindre","Levée"),IF(I79="","À planifier",IF(M79&lt;0,"En retard","En cours"))))</f>
      </c>
    </row>
    <row r="80" spans="1:14" x14ac:dyDescent="0.25">
      <c r="A80" s="5">
        <v>76</v>
      </c>
      <c r="B80" s="6"/>
      <c r="C80" s="5"/>
      <c r="D80" s="5"/>
      <c r="E80" s="7"/>
      <c r="F80" s="5"/>
      <c r="G80" s="7"/>
      <c r="H80" s="5"/>
      <c r="I80" s="6"/>
      <c r="J80" s="5"/>
      <c r="K80" s="6"/>
      <c r="L80" s="7"/>
      <c r="M80" s="8">
        <f>IF(OR(I80="",K80&lt;&gt;""),"",I80-TODAY())</f>
      </c>
      <c r="N80" s="8">
        <f>IF(E80="","",IF(K80&lt;&gt;"",IF(L80="","Preuve à joindre","Levée"),IF(I80="","À planifier",IF(M80&lt;0,"En retard","En cours"))))</f>
      </c>
    </row>
    <row r="81" spans="1:14" x14ac:dyDescent="0.25">
      <c r="A81" s="5">
        <v>77</v>
      </c>
      <c r="B81" s="6"/>
      <c r="C81" s="5"/>
      <c r="D81" s="5"/>
      <c r="E81" s="7"/>
      <c r="F81" s="5"/>
      <c r="G81" s="7"/>
      <c r="H81" s="5"/>
      <c r="I81" s="6"/>
      <c r="J81" s="5"/>
      <c r="K81" s="6"/>
      <c r="L81" s="7"/>
      <c r="M81" s="8">
        <f>IF(OR(I81="",K81&lt;&gt;""),"",I81-TODAY())</f>
      </c>
      <c r="N81" s="8">
        <f>IF(E81="","",IF(K81&lt;&gt;"",IF(L81="","Preuve à joindre","Levée"),IF(I81="","À planifier",IF(M81&lt;0,"En retard","En cours"))))</f>
      </c>
    </row>
    <row r="82" spans="1:14" x14ac:dyDescent="0.25">
      <c r="A82" s="5">
        <v>78</v>
      </c>
      <c r="B82" s="6"/>
      <c r="C82" s="5"/>
      <c r="D82" s="5"/>
      <c r="E82" s="7"/>
      <c r="F82" s="5"/>
      <c r="G82" s="7"/>
      <c r="H82" s="5"/>
      <c r="I82" s="6"/>
      <c r="J82" s="5"/>
      <c r="K82" s="6"/>
      <c r="L82" s="7"/>
      <c r="M82" s="8">
        <f>IF(OR(I82="",K82&lt;&gt;""),"",I82-TODAY())</f>
      </c>
      <c r="N82" s="8">
        <f>IF(E82="","",IF(K82&lt;&gt;"",IF(L82="","Preuve à joindre","Levée"),IF(I82="","À planifier",IF(M82&lt;0,"En retard","En cours"))))</f>
      </c>
    </row>
    <row r="83" spans="1:14" x14ac:dyDescent="0.25">
      <c r="A83" s="5">
        <v>79</v>
      </c>
      <c r="B83" s="6"/>
      <c r="C83" s="5"/>
      <c r="D83" s="5"/>
      <c r="E83" s="7"/>
      <c r="F83" s="5"/>
      <c r="G83" s="7"/>
      <c r="H83" s="5"/>
      <c r="I83" s="6"/>
      <c r="J83" s="5"/>
      <c r="K83" s="6"/>
      <c r="L83" s="7"/>
      <c r="M83" s="8">
        <f>IF(OR(I83="",K83&lt;&gt;""),"",I83-TODAY())</f>
      </c>
      <c r="N83" s="8">
        <f>IF(E83="","",IF(K83&lt;&gt;"",IF(L83="","Preuve à joindre","Levée"),IF(I83="","À planifier",IF(M83&lt;0,"En retard","En cours"))))</f>
      </c>
    </row>
    <row r="84" spans="1:14" x14ac:dyDescent="0.25">
      <c r="A84" s="5">
        <v>80</v>
      </c>
      <c r="B84" s="6"/>
      <c r="C84" s="5"/>
      <c r="D84" s="5"/>
      <c r="E84" s="7"/>
      <c r="F84" s="5"/>
      <c r="G84" s="7"/>
      <c r="H84" s="5"/>
      <c r="I84" s="6"/>
      <c r="J84" s="5"/>
      <c r="K84" s="6"/>
      <c r="L84" s="7"/>
      <c r="M84" s="8">
        <f>IF(OR(I84="",K84&lt;&gt;""),"",I84-TODAY())</f>
      </c>
      <c r="N84" s="8">
        <f>IF(E84="","",IF(K84&lt;&gt;"",IF(L84="","Preuve à joindre","Levée"),IF(I84="","À planifier",IF(M84&lt;0,"En retard","En cours"))))</f>
      </c>
    </row>
    <row r="85" spans="1:14" x14ac:dyDescent="0.25">
      <c r="A85" s="5">
        <v>81</v>
      </c>
      <c r="B85" s="6"/>
      <c r="C85" s="5"/>
      <c r="D85" s="5"/>
      <c r="E85" s="7"/>
      <c r="F85" s="5"/>
      <c r="G85" s="7"/>
      <c r="H85" s="5"/>
      <c r="I85" s="6"/>
      <c r="J85" s="5"/>
      <c r="K85" s="6"/>
      <c r="L85" s="7"/>
      <c r="M85" s="8">
        <f>IF(OR(I85="",K85&lt;&gt;""),"",I85-TODAY())</f>
      </c>
      <c r="N85" s="8">
        <f>IF(E85="","",IF(K85&lt;&gt;"",IF(L85="","Preuve à joindre","Levée"),IF(I85="","À planifier",IF(M85&lt;0,"En retard","En cours"))))</f>
      </c>
    </row>
    <row r="86" spans="1:14" x14ac:dyDescent="0.25">
      <c r="A86" s="5">
        <v>82</v>
      </c>
      <c r="B86" s="6"/>
      <c r="C86" s="5"/>
      <c r="D86" s="5"/>
      <c r="E86" s="7"/>
      <c r="F86" s="5"/>
      <c r="G86" s="7"/>
      <c r="H86" s="5"/>
      <c r="I86" s="6"/>
      <c r="J86" s="5"/>
      <c r="K86" s="6"/>
      <c r="L86" s="7"/>
      <c r="M86" s="8">
        <f>IF(OR(I86="",K86&lt;&gt;""),"",I86-TODAY())</f>
      </c>
      <c r="N86" s="8">
        <f>IF(E86="","",IF(K86&lt;&gt;"",IF(L86="","Preuve à joindre","Levée"),IF(I86="","À planifier",IF(M86&lt;0,"En retard","En cours"))))</f>
      </c>
    </row>
    <row r="87" spans="1:14" x14ac:dyDescent="0.25">
      <c r="A87" s="5">
        <v>83</v>
      </c>
      <c r="B87" s="6"/>
      <c r="C87" s="5"/>
      <c r="D87" s="5"/>
      <c r="E87" s="7"/>
      <c r="F87" s="5"/>
      <c r="G87" s="7"/>
      <c r="H87" s="5"/>
      <c r="I87" s="6"/>
      <c r="J87" s="5"/>
      <c r="K87" s="6"/>
      <c r="L87" s="7"/>
      <c r="M87" s="8">
        <f>IF(OR(I87="",K87&lt;&gt;""),"",I87-TODAY())</f>
      </c>
      <c r="N87" s="8">
        <f>IF(E87="","",IF(K87&lt;&gt;"",IF(L87="","Preuve à joindre","Levée"),IF(I87="","À planifier",IF(M87&lt;0,"En retard","En cours"))))</f>
      </c>
    </row>
    <row r="88" spans="1:14" x14ac:dyDescent="0.25">
      <c r="A88" s="5">
        <v>84</v>
      </c>
      <c r="B88" s="6"/>
      <c r="C88" s="5"/>
      <c r="D88" s="5"/>
      <c r="E88" s="7"/>
      <c r="F88" s="5"/>
      <c r="G88" s="7"/>
      <c r="H88" s="5"/>
      <c r="I88" s="6"/>
      <c r="J88" s="5"/>
      <c r="K88" s="6"/>
      <c r="L88" s="7"/>
      <c r="M88" s="8">
        <f>IF(OR(I88="",K88&lt;&gt;""),"",I88-TODAY())</f>
      </c>
      <c r="N88" s="8">
        <f>IF(E88="","",IF(K88&lt;&gt;"",IF(L88="","Preuve à joindre","Levée"),IF(I88="","À planifier",IF(M88&lt;0,"En retard","En cours"))))</f>
      </c>
    </row>
    <row r="89" spans="1:14" x14ac:dyDescent="0.25">
      <c r="A89" s="5">
        <v>85</v>
      </c>
      <c r="B89" s="6"/>
      <c r="C89" s="5"/>
      <c r="D89" s="5"/>
      <c r="E89" s="7"/>
      <c r="F89" s="5"/>
      <c r="G89" s="7"/>
      <c r="H89" s="5"/>
      <c r="I89" s="6"/>
      <c r="J89" s="5"/>
      <c r="K89" s="6"/>
      <c r="L89" s="7"/>
      <c r="M89" s="8">
        <f>IF(OR(I89="",K89&lt;&gt;""),"",I89-TODAY())</f>
      </c>
      <c r="N89" s="8">
        <f>IF(E89="","",IF(K89&lt;&gt;"",IF(L89="","Preuve à joindre","Levée"),IF(I89="","À planifier",IF(M89&lt;0,"En retard","En cours"))))</f>
      </c>
    </row>
    <row r="90" spans="1:14" x14ac:dyDescent="0.25">
      <c r="A90" s="5">
        <v>86</v>
      </c>
      <c r="B90" s="6"/>
      <c r="C90" s="5"/>
      <c r="D90" s="5"/>
      <c r="E90" s="7"/>
      <c r="F90" s="5"/>
      <c r="G90" s="7"/>
      <c r="H90" s="5"/>
      <c r="I90" s="6"/>
      <c r="J90" s="5"/>
      <c r="K90" s="6"/>
      <c r="L90" s="7"/>
      <c r="M90" s="8">
        <f>IF(OR(I90="",K90&lt;&gt;""),"",I90-TODAY())</f>
      </c>
      <c r="N90" s="8">
        <f>IF(E90="","",IF(K90&lt;&gt;"",IF(L90="","Preuve à joindre","Levée"),IF(I90="","À planifier",IF(M90&lt;0,"En retard","En cours"))))</f>
      </c>
    </row>
    <row r="91" spans="1:14" x14ac:dyDescent="0.25">
      <c r="A91" s="5">
        <v>87</v>
      </c>
      <c r="B91" s="6"/>
      <c r="C91" s="5"/>
      <c r="D91" s="5"/>
      <c r="E91" s="7"/>
      <c r="F91" s="5"/>
      <c r="G91" s="7"/>
      <c r="H91" s="5"/>
      <c r="I91" s="6"/>
      <c r="J91" s="5"/>
      <c r="K91" s="6"/>
      <c r="L91" s="7"/>
      <c r="M91" s="8">
        <f>IF(OR(I91="",K91&lt;&gt;""),"",I91-TODAY())</f>
      </c>
      <c r="N91" s="8">
        <f>IF(E91="","",IF(K91&lt;&gt;"",IF(L91="","Preuve à joindre","Levée"),IF(I91="","À planifier",IF(M91&lt;0,"En retard","En cours"))))</f>
      </c>
    </row>
    <row r="92" spans="1:14" x14ac:dyDescent="0.25">
      <c r="A92" s="5">
        <v>88</v>
      </c>
      <c r="B92" s="6"/>
      <c r="C92" s="5"/>
      <c r="D92" s="5"/>
      <c r="E92" s="7"/>
      <c r="F92" s="5"/>
      <c r="G92" s="7"/>
      <c r="H92" s="5"/>
      <c r="I92" s="6"/>
      <c r="J92" s="5"/>
      <c r="K92" s="6"/>
      <c r="L92" s="7"/>
      <c r="M92" s="8">
        <f>IF(OR(I92="",K92&lt;&gt;""),"",I92-TODAY())</f>
      </c>
      <c r="N92" s="8">
        <f>IF(E92="","",IF(K92&lt;&gt;"",IF(L92="","Preuve à joindre","Levée"),IF(I92="","À planifier",IF(M92&lt;0,"En retard","En cours"))))</f>
      </c>
    </row>
    <row r="93" spans="1:14" x14ac:dyDescent="0.25">
      <c r="A93" s="5">
        <v>89</v>
      </c>
      <c r="B93" s="6"/>
      <c r="C93" s="5"/>
      <c r="D93" s="5"/>
      <c r="E93" s="7"/>
      <c r="F93" s="5"/>
      <c r="G93" s="7"/>
      <c r="H93" s="5"/>
      <c r="I93" s="6"/>
      <c r="J93" s="5"/>
      <c r="K93" s="6"/>
      <c r="L93" s="7"/>
      <c r="M93" s="8">
        <f>IF(OR(I93="",K93&lt;&gt;""),"",I93-TODAY())</f>
      </c>
      <c r="N93" s="8">
        <f>IF(E93="","",IF(K93&lt;&gt;"",IF(L93="","Preuve à joindre","Levée"),IF(I93="","À planifier",IF(M93&lt;0,"En retard","En cours"))))</f>
      </c>
    </row>
    <row r="94" spans="1:14" x14ac:dyDescent="0.25">
      <c r="A94" s="5">
        <v>90</v>
      </c>
      <c r="B94" s="6"/>
      <c r="C94" s="5"/>
      <c r="D94" s="5"/>
      <c r="E94" s="7"/>
      <c r="F94" s="5"/>
      <c r="G94" s="7"/>
      <c r="H94" s="5"/>
      <c r="I94" s="6"/>
      <c r="J94" s="5"/>
      <c r="K94" s="6"/>
      <c r="L94" s="7"/>
      <c r="M94" s="8">
        <f>IF(OR(I94="",K94&lt;&gt;""),"",I94-TODAY())</f>
      </c>
      <c r="N94" s="8">
        <f>IF(E94="","",IF(K94&lt;&gt;"",IF(L94="","Preuve à joindre","Levée"),IF(I94="","À planifier",IF(M94&lt;0,"En retard","En cours"))))</f>
      </c>
    </row>
    <row r="95" spans="1:14" x14ac:dyDescent="0.25">
      <c r="A95" s="5">
        <v>91</v>
      </c>
      <c r="B95" s="6"/>
      <c r="C95" s="5"/>
      <c r="D95" s="5"/>
      <c r="E95" s="7"/>
      <c r="F95" s="5"/>
      <c r="G95" s="7"/>
      <c r="H95" s="5"/>
      <c r="I95" s="6"/>
      <c r="J95" s="5"/>
      <c r="K95" s="6"/>
      <c r="L95" s="7"/>
      <c r="M95" s="8">
        <f>IF(OR(I95="",K95&lt;&gt;""),"",I95-TODAY())</f>
      </c>
      <c r="N95" s="8">
        <f>IF(E95="","",IF(K95&lt;&gt;"",IF(L95="","Preuve à joindre","Levée"),IF(I95="","À planifier",IF(M95&lt;0,"En retard","En cours"))))</f>
      </c>
    </row>
    <row r="96" spans="1:14" x14ac:dyDescent="0.25">
      <c r="A96" s="5">
        <v>92</v>
      </c>
      <c r="B96" s="6"/>
      <c r="C96" s="5"/>
      <c r="D96" s="5"/>
      <c r="E96" s="7"/>
      <c r="F96" s="5"/>
      <c r="G96" s="7"/>
      <c r="H96" s="5"/>
      <c r="I96" s="6"/>
      <c r="J96" s="5"/>
      <c r="K96" s="6"/>
      <c r="L96" s="7"/>
      <c r="M96" s="8">
        <f>IF(OR(I96="",K96&lt;&gt;""),"",I96-TODAY())</f>
      </c>
      <c r="N96" s="8">
        <f>IF(E96="","",IF(K96&lt;&gt;"",IF(L96="","Preuve à joindre","Levée"),IF(I96="","À planifier",IF(M96&lt;0,"En retard","En cours"))))</f>
      </c>
    </row>
    <row r="97" spans="1:14" x14ac:dyDescent="0.25">
      <c r="A97" s="5">
        <v>93</v>
      </c>
      <c r="B97" s="6"/>
      <c r="C97" s="5"/>
      <c r="D97" s="5"/>
      <c r="E97" s="7"/>
      <c r="F97" s="5"/>
      <c r="G97" s="7"/>
      <c r="H97" s="5"/>
      <c r="I97" s="6"/>
      <c r="J97" s="5"/>
      <c r="K97" s="6"/>
      <c r="L97" s="7"/>
      <c r="M97" s="8">
        <f>IF(OR(I97="",K97&lt;&gt;""),"",I97-TODAY())</f>
      </c>
      <c r="N97" s="8">
        <f>IF(E97="","",IF(K97&lt;&gt;"",IF(L97="","Preuve à joindre","Levée"),IF(I97="","À planifier",IF(M97&lt;0,"En retard","En cours"))))</f>
      </c>
    </row>
    <row r="98" spans="1:14" x14ac:dyDescent="0.25">
      <c r="A98" s="5">
        <v>94</v>
      </c>
      <c r="B98" s="6"/>
      <c r="C98" s="5"/>
      <c r="D98" s="5"/>
      <c r="E98" s="7"/>
      <c r="F98" s="5"/>
      <c r="G98" s="7"/>
      <c r="H98" s="5"/>
      <c r="I98" s="6"/>
      <c r="J98" s="5"/>
      <c r="K98" s="6"/>
      <c r="L98" s="7"/>
      <c r="M98" s="8">
        <f>IF(OR(I98="",K98&lt;&gt;""),"",I98-TODAY())</f>
      </c>
      <c r="N98" s="8">
        <f>IF(E98="","",IF(K98&lt;&gt;"",IF(L98="","Preuve à joindre","Levée"),IF(I98="","À planifier",IF(M98&lt;0,"En retard","En cours"))))</f>
      </c>
    </row>
    <row r="99" spans="1:14" x14ac:dyDescent="0.25">
      <c r="A99" s="5">
        <v>95</v>
      </c>
      <c r="B99" s="6"/>
      <c r="C99" s="5"/>
      <c r="D99" s="5"/>
      <c r="E99" s="7"/>
      <c r="F99" s="5"/>
      <c r="G99" s="7"/>
      <c r="H99" s="5"/>
      <c r="I99" s="6"/>
      <c r="J99" s="5"/>
      <c r="K99" s="6"/>
      <c r="L99" s="7"/>
      <c r="M99" s="8">
        <f>IF(OR(I99="",K99&lt;&gt;""),"",I99-TODAY())</f>
      </c>
      <c r="N99" s="8">
        <f>IF(E99="","",IF(K99&lt;&gt;"",IF(L99="","Preuve à joindre","Levée"),IF(I99="","À planifier",IF(M99&lt;0,"En retard","En cours"))))</f>
      </c>
    </row>
    <row r="100" spans="1:14" x14ac:dyDescent="0.25">
      <c r="A100" s="5">
        <v>96</v>
      </c>
      <c r="B100" s="6"/>
      <c r="C100" s="5"/>
      <c r="D100" s="5"/>
      <c r="E100" s="7"/>
      <c r="F100" s="5"/>
      <c r="G100" s="7"/>
      <c r="H100" s="5"/>
      <c r="I100" s="6"/>
      <c r="J100" s="5"/>
      <c r="K100" s="6"/>
      <c r="L100" s="7"/>
      <c r="M100" s="8">
        <f>IF(OR(I100="",K100&lt;&gt;""),"",I100-TODAY())</f>
      </c>
      <c r="N100" s="8">
        <f>IF(E100="","",IF(K100&lt;&gt;"",IF(L100="","Preuve à joindre","Levée"),IF(I100="","À planifier",IF(M100&lt;0,"En retard","En cours"))))</f>
      </c>
    </row>
    <row r="101" spans="1:14" x14ac:dyDescent="0.25">
      <c r="A101" s="5">
        <v>97</v>
      </c>
      <c r="B101" s="6"/>
      <c r="C101" s="5"/>
      <c r="D101" s="5"/>
      <c r="E101" s="7"/>
      <c r="F101" s="5"/>
      <c r="G101" s="7"/>
      <c r="H101" s="5"/>
      <c r="I101" s="6"/>
      <c r="J101" s="5"/>
      <c r="K101" s="6"/>
      <c r="L101" s="7"/>
      <c r="M101" s="8">
        <f>IF(OR(I101="",K101&lt;&gt;""),"",I101-TODAY())</f>
      </c>
      <c r="N101" s="8">
        <f>IF(E101="","",IF(K101&lt;&gt;"",IF(L101="","Preuve à joindre","Levée"),IF(I101="","À planifier",IF(M101&lt;0,"En retard","En cours"))))</f>
      </c>
    </row>
    <row r="102" spans="1:14" x14ac:dyDescent="0.25">
      <c r="A102" s="5">
        <v>98</v>
      </c>
      <c r="B102" s="6"/>
      <c r="C102" s="5"/>
      <c r="D102" s="5"/>
      <c r="E102" s="7"/>
      <c r="F102" s="5"/>
      <c r="G102" s="7"/>
      <c r="H102" s="5"/>
      <c r="I102" s="6"/>
      <c r="J102" s="5"/>
      <c r="K102" s="6"/>
      <c r="L102" s="7"/>
      <c r="M102" s="8">
        <f>IF(OR(I102="",K102&lt;&gt;""),"",I102-TODAY())</f>
      </c>
      <c r="N102" s="8">
        <f>IF(E102="","",IF(K102&lt;&gt;"",IF(L102="","Preuve à joindre","Levée"),IF(I102="","À planifier",IF(M102&lt;0,"En retard","En cours"))))</f>
      </c>
    </row>
    <row r="103" spans="1:14" x14ac:dyDescent="0.25">
      <c r="A103" s="5">
        <v>99</v>
      </c>
      <c r="B103" s="6"/>
      <c r="C103" s="5"/>
      <c r="D103" s="5"/>
      <c r="E103" s="7"/>
      <c r="F103" s="5"/>
      <c r="G103" s="7"/>
      <c r="H103" s="5"/>
      <c r="I103" s="6"/>
      <c r="J103" s="5"/>
      <c r="K103" s="6"/>
      <c r="L103" s="7"/>
      <c r="M103" s="8">
        <f>IF(OR(I103="",K103&lt;&gt;""),"",I103-TODAY())</f>
      </c>
      <c r="N103" s="8">
        <f>IF(E103="","",IF(K103&lt;&gt;"",IF(L103="","Preuve à joindre","Levée"),IF(I103="","À planifier",IF(M103&lt;0,"En retard","En cours"))))</f>
      </c>
    </row>
    <row r="104" spans="1:14" x14ac:dyDescent="0.25">
      <c r="A104" s="5">
        <v>100</v>
      </c>
      <c r="B104" s="6"/>
      <c r="C104" s="5"/>
      <c r="D104" s="5"/>
      <c r="E104" s="7"/>
      <c r="F104" s="5"/>
      <c r="G104" s="7"/>
      <c r="H104" s="5"/>
      <c r="I104" s="6"/>
      <c r="J104" s="5"/>
      <c r="K104" s="6"/>
      <c r="L104" s="7"/>
      <c r="M104" s="8">
        <f>IF(OR(I104="",K104&lt;&gt;""),"",I104-TODAY())</f>
      </c>
      <c r="N104" s="8">
        <f>IF(E104="","",IF(K104&lt;&gt;"",IF(L104="","Preuve à joindre","Levée"),IF(I104="","À planifier",IF(M104&lt;0,"En retard","En cours"))))</f>
      </c>
    </row>
    <row r="105" spans="1:14" x14ac:dyDescent="0.25">
      <c r="A105" s="5">
        <v>101</v>
      </c>
      <c r="B105" s="6"/>
      <c r="C105" s="5"/>
      <c r="D105" s="5"/>
      <c r="E105" s="7"/>
      <c r="F105" s="5"/>
      <c r="G105" s="7"/>
      <c r="H105" s="5"/>
      <c r="I105" s="6"/>
      <c r="J105" s="5"/>
      <c r="K105" s="6"/>
      <c r="L105" s="7"/>
      <c r="M105" s="8">
        <f>IF(OR(I105="",K105&lt;&gt;""),"",I105-TODAY())</f>
      </c>
      <c r="N105" s="8">
        <f>IF(E105="","",IF(K105&lt;&gt;"",IF(L105="","Preuve à joindre","Levée"),IF(I105="","À planifier",IF(M105&lt;0,"En retard","En cours"))))</f>
      </c>
    </row>
    <row r="106" spans="1:14" x14ac:dyDescent="0.25">
      <c r="A106" s="5">
        <v>102</v>
      </c>
      <c r="B106" s="6"/>
      <c r="C106" s="5"/>
      <c r="D106" s="5"/>
      <c r="E106" s="7"/>
      <c r="F106" s="5"/>
      <c r="G106" s="7"/>
      <c r="H106" s="5"/>
      <c r="I106" s="6"/>
      <c r="J106" s="5"/>
      <c r="K106" s="6"/>
      <c r="L106" s="7"/>
      <c r="M106" s="8">
        <f>IF(OR(I106="",K106&lt;&gt;""),"",I106-TODAY())</f>
      </c>
      <c r="N106" s="8">
        <f>IF(E106="","",IF(K106&lt;&gt;"",IF(L106="","Preuve à joindre","Levée"),IF(I106="","À planifier",IF(M106&lt;0,"En retard","En cours"))))</f>
      </c>
    </row>
    <row r="107" spans="1:14" x14ac:dyDescent="0.25">
      <c r="A107" s="5">
        <v>103</v>
      </c>
      <c r="B107" s="6"/>
      <c r="C107" s="5"/>
      <c r="D107" s="5"/>
      <c r="E107" s="7"/>
      <c r="F107" s="5"/>
      <c r="G107" s="7"/>
      <c r="H107" s="5"/>
      <c r="I107" s="6"/>
      <c r="J107" s="5"/>
      <c r="K107" s="6"/>
      <c r="L107" s="7"/>
      <c r="M107" s="8">
        <f>IF(OR(I107="",K107&lt;&gt;""),"",I107-TODAY())</f>
      </c>
      <c r="N107" s="8">
        <f>IF(E107="","",IF(K107&lt;&gt;"",IF(L107="","Preuve à joindre","Levée"),IF(I107="","À planifier",IF(M107&lt;0,"En retard","En cours"))))</f>
      </c>
    </row>
    <row r="108" spans="1:14" x14ac:dyDescent="0.25">
      <c r="A108" s="5">
        <v>104</v>
      </c>
      <c r="B108" s="6"/>
      <c r="C108" s="5"/>
      <c r="D108" s="5"/>
      <c r="E108" s="7"/>
      <c r="F108" s="5"/>
      <c r="G108" s="7"/>
      <c r="H108" s="5"/>
      <c r="I108" s="6"/>
      <c r="J108" s="5"/>
      <c r="K108" s="6"/>
      <c r="L108" s="7"/>
      <c r="M108" s="8">
        <f>IF(OR(I108="",K108&lt;&gt;""),"",I108-TODAY())</f>
      </c>
      <c r="N108" s="8">
        <f>IF(E108="","",IF(K108&lt;&gt;"",IF(L108="","Preuve à joindre","Levée"),IF(I108="","À planifier",IF(M108&lt;0,"En retard","En cours"))))</f>
      </c>
    </row>
    <row r="109" spans="1:14" x14ac:dyDescent="0.25">
      <c r="A109" s="5">
        <v>105</v>
      </c>
      <c r="B109" s="6"/>
      <c r="C109" s="5"/>
      <c r="D109" s="5"/>
      <c r="E109" s="7"/>
      <c r="F109" s="5"/>
      <c r="G109" s="7"/>
      <c r="H109" s="5"/>
      <c r="I109" s="6"/>
      <c r="J109" s="5"/>
      <c r="K109" s="6"/>
      <c r="L109" s="7"/>
      <c r="M109" s="8">
        <f>IF(OR(I109="",K109&lt;&gt;""),"",I109-TODAY())</f>
      </c>
      <c r="N109" s="8">
        <f>IF(E109="","",IF(K109&lt;&gt;"",IF(L109="","Preuve à joindre","Levée"),IF(I109="","À planifier",IF(M109&lt;0,"En retard","En cours"))))</f>
      </c>
    </row>
    <row r="110" spans="1:14" x14ac:dyDescent="0.25">
      <c r="A110" s="5">
        <v>106</v>
      </c>
      <c r="B110" s="6"/>
      <c r="C110" s="5"/>
      <c r="D110" s="5"/>
      <c r="E110" s="7"/>
      <c r="F110" s="5"/>
      <c r="G110" s="7"/>
      <c r="H110" s="5"/>
      <c r="I110" s="6"/>
      <c r="J110" s="5"/>
      <c r="K110" s="6"/>
      <c r="L110" s="7"/>
      <c r="M110" s="8">
        <f>IF(OR(I110="",K110&lt;&gt;""),"",I110-TODAY())</f>
      </c>
      <c r="N110" s="8">
        <f>IF(E110="","",IF(K110&lt;&gt;"",IF(L110="","Preuve à joindre","Levée"),IF(I110="","À planifier",IF(M110&lt;0,"En retard","En cours"))))</f>
      </c>
    </row>
    <row r="111" spans="1:14" x14ac:dyDescent="0.25">
      <c r="A111" s="5">
        <v>107</v>
      </c>
      <c r="B111" s="6"/>
      <c r="C111" s="5"/>
      <c r="D111" s="5"/>
      <c r="E111" s="7"/>
      <c r="F111" s="5"/>
      <c r="G111" s="7"/>
      <c r="H111" s="5"/>
      <c r="I111" s="6"/>
      <c r="J111" s="5"/>
      <c r="K111" s="6"/>
      <c r="L111" s="7"/>
      <c r="M111" s="8">
        <f>IF(OR(I111="",K111&lt;&gt;""),"",I111-TODAY())</f>
      </c>
      <c r="N111" s="8">
        <f>IF(E111="","",IF(K111&lt;&gt;"",IF(L111="","Preuve à joindre","Levée"),IF(I111="","À planifier",IF(M111&lt;0,"En retard","En cours"))))</f>
      </c>
    </row>
    <row r="112" spans="1:14" x14ac:dyDescent="0.25">
      <c r="A112" s="5">
        <v>108</v>
      </c>
      <c r="B112" s="6"/>
      <c r="C112" s="5"/>
      <c r="D112" s="5"/>
      <c r="E112" s="7"/>
      <c r="F112" s="5"/>
      <c r="G112" s="7"/>
      <c r="H112" s="5"/>
      <c r="I112" s="6"/>
      <c r="J112" s="5"/>
      <c r="K112" s="6"/>
      <c r="L112" s="7"/>
      <c r="M112" s="8">
        <f>IF(OR(I112="",K112&lt;&gt;""),"",I112-TODAY())</f>
      </c>
      <c r="N112" s="8">
        <f>IF(E112="","",IF(K112&lt;&gt;"",IF(L112="","Preuve à joindre","Levée"),IF(I112="","À planifier",IF(M112&lt;0,"En retard","En cours"))))</f>
      </c>
    </row>
    <row r="113" spans="1:14" x14ac:dyDescent="0.25">
      <c r="A113" s="5">
        <v>109</v>
      </c>
      <c r="B113" s="6"/>
      <c r="C113" s="5"/>
      <c r="D113" s="5"/>
      <c r="E113" s="7"/>
      <c r="F113" s="5"/>
      <c r="G113" s="7"/>
      <c r="H113" s="5"/>
      <c r="I113" s="6"/>
      <c r="J113" s="5"/>
      <c r="K113" s="6"/>
      <c r="L113" s="7"/>
      <c r="M113" s="8">
        <f>IF(OR(I113="",K113&lt;&gt;""),"",I113-TODAY())</f>
      </c>
      <c r="N113" s="8">
        <f>IF(E113="","",IF(K113&lt;&gt;"",IF(L113="","Preuve à joindre","Levée"),IF(I113="","À planifier",IF(M113&lt;0,"En retard","En cours"))))</f>
      </c>
    </row>
    <row r="114" spans="1:14" x14ac:dyDescent="0.25">
      <c r="A114" s="5">
        <v>110</v>
      </c>
      <c r="B114" s="6"/>
      <c r="C114" s="5"/>
      <c r="D114" s="5"/>
      <c r="E114" s="7"/>
      <c r="F114" s="5"/>
      <c r="G114" s="7"/>
      <c r="H114" s="5"/>
      <c r="I114" s="6"/>
      <c r="J114" s="5"/>
      <c r="K114" s="6"/>
      <c r="L114" s="7"/>
      <c r="M114" s="8">
        <f>IF(OR(I114="",K114&lt;&gt;""),"",I114-TODAY())</f>
      </c>
      <c r="N114" s="8">
        <f>IF(E114="","",IF(K114&lt;&gt;"",IF(L114="","Preuve à joindre","Levée"),IF(I114="","À planifier",IF(M114&lt;0,"En retard","En cours"))))</f>
      </c>
    </row>
    <row r="115" spans="1:14" x14ac:dyDescent="0.25">
      <c r="A115" s="5">
        <v>111</v>
      </c>
      <c r="B115" s="6"/>
      <c r="C115" s="5"/>
      <c r="D115" s="5"/>
      <c r="E115" s="7"/>
      <c r="F115" s="5"/>
      <c r="G115" s="7"/>
      <c r="H115" s="5"/>
      <c r="I115" s="6"/>
      <c r="J115" s="5"/>
      <c r="K115" s="6"/>
      <c r="L115" s="7"/>
      <c r="M115" s="8">
        <f>IF(OR(I115="",K115&lt;&gt;""),"",I115-TODAY())</f>
      </c>
      <c r="N115" s="8">
        <f>IF(E115="","",IF(K115&lt;&gt;"",IF(L115="","Preuve à joindre","Levée"),IF(I115="","À planifier",IF(M115&lt;0,"En retard","En cours"))))</f>
      </c>
    </row>
    <row r="116" spans="1:14" x14ac:dyDescent="0.25">
      <c r="A116" s="5">
        <v>112</v>
      </c>
      <c r="B116" s="6"/>
      <c r="C116" s="5"/>
      <c r="D116" s="5"/>
      <c r="E116" s="7"/>
      <c r="F116" s="5"/>
      <c r="G116" s="7"/>
      <c r="H116" s="5"/>
      <c r="I116" s="6"/>
      <c r="J116" s="5"/>
      <c r="K116" s="6"/>
      <c r="L116" s="7"/>
      <c r="M116" s="8">
        <f>IF(OR(I116="",K116&lt;&gt;""),"",I116-TODAY())</f>
      </c>
      <c r="N116" s="8">
        <f>IF(E116="","",IF(K116&lt;&gt;"",IF(L116="","Preuve à joindre","Levée"),IF(I116="","À planifier",IF(M116&lt;0,"En retard","En cours"))))</f>
      </c>
    </row>
    <row r="117" spans="1:14" x14ac:dyDescent="0.25">
      <c r="A117" s="5">
        <v>113</v>
      </c>
      <c r="B117" s="6"/>
      <c r="C117" s="5"/>
      <c r="D117" s="5"/>
      <c r="E117" s="7"/>
      <c r="F117" s="5"/>
      <c r="G117" s="7"/>
      <c r="H117" s="5"/>
      <c r="I117" s="6"/>
      <c r="J117" s="5"/>
      <c r="K117" s="6"/>
      <c r="L117" s="7"/>
      <c r="M117" s="8">
        <f>IF(OR(I117="",K117&lt;&gt;""),"",I117-TODAY())</f>
      </c>
      <c r="N117" s="8">
        <f>IF(E117="","",IF(K117&lt;&gt;"",IF(L117="","Preuve à joindre","Levée"),IF(I117="","À planifier",IF(M117&lt;0,"En retard","En cours"))))</f>
      </c>
    </row>
    <row r="118" spans="1:14" x14ac:dyDescent="0.25">
      <c r="A118" s="5">
        <v>114</v>
      </c>
      <c r="B118" s="6"/>
      <c r="C118" s="5"/>
      <c r="D118" s="5"/>
      <c r="E118" s="7"/>
      <c r="F118" s="5"/>
      <c r="G118" s="7"/>
      <c r="H118" s="5"/>
      <c r="I118" s="6"/>
      <c r="J118" s="5"/>
      <c r="K118" s="6"/>
      <c r="L118" s="7"/>
      <c r="M118" s="8">
        <f>IF(OR(I118="",K118&lt;&gt;""),"",I118-TODAY())</f>
      </c>
      <c r="N118" s="8">
        <f>IF(E118="","",IF(K118&lt;&gt;"",IF(L118="","Preuve à joindre","Levée"),IF(I118="","À planifier",IF(M118&lt;0,"En retard","En cours"))))</f>
      </c>
    </row>
    <row r="119" spans="1:14" x14ac:dyDescent="0.25">
      <c r="A119" s="5">
        <v>115</v>
      </c>
      <c r="B119" s="6"/>
      <c r="C119" s="5"/>
      <c r="D119" s="5"/>
      <c r="E119" s="7"/>
      <c r="F119" s="5"/>
      <c r="G119" s="7"/>
      <c r="H119" s="5"/>
      <c r="I119" s="6"/>
      <c r="J119" s="5"/>
      <c r="K119" s="6"/>
      <c r="L119" s="7"/>
      <c r="M119" s="8">
        <f>IF(OR(I119="",K119&lt;&gt;""),"",I119-TODAY())</f>
      </c>
      <c r="N119" s="8">
        <f>IF(E119="","",IF(K119&lt;&gt;"",IF(L119="","Preuve à joindre","Levée"),IF(I119="","À planifier",IF(M119&lt;0,"En retard","En cours"))))</f>
      </c>
    </row>
    <row r="120" spans="1:14" x14ac:dyDescent="0.25">
      <c r="A120" s="5">
        <v>116</v>
      </c>
      <c r="B120" s="6"/>
      <c r="C120" s="5"/>
      <c r="D120" s="5"/>
      <c r="E120" s="7"/>
      <c r="F120" s="5"/>
      <c r="G120" s="7"/>
      <c r="H120" s="5"/>
      <c r="I120" s="6"/>
      <c r="J120" s="5"/>
      <c r="K120" s="6"/>
      <c r="L120" s="7"/>
      <c r="M120" s="8">
        <f>IF(OR(I120="",K120&lt;&gt;""),"",I120-TODAY())</f>
      </c>
      <c r="N120" s="8">
        <f>IF(E120="","",IF(K120&lt;&gt;"",IF(L120="","Preuve à joindre","Levée"),IF(I120="","À planifier",IF(M120&lt;0,"En retard","En cours"))))</f>
      </c>
    </row>
    <row r="121" spans="1:14" x14ac:dyDescent="0.25">
      <c r="A121" s="5">
        <v>117</v>
      </c>
      <c r="B121" s="6"/>
      <c r="C121" s="5"/>
      <c r="D121" s="5"/>
      <c r="E121" s="7"/>
      <c r="F121" s="5"/>
      <c r="G121" s="7"/>
      <c r="H121" s="5"/>
      <c r="I121" s="6"/>
      <c r="J121" s="5"/>
      <c r="K121" s="6"/>
      <c r="L121" s="7"/>
      <c r="M121" s="8">
        <f>IF(OR(I121="",K121&lt;&gt;""),"",I121-TODAY())</f>
      </c>
      <c r="N121" s="8">
        <f>IF(E121="","",IF(K121&lt;&gt;"",IF(L121="","Preuve à joindre","Levée"),IF(I121="","À planifier",IF(M121&lt;0,"En retard","En cours"))))</f>
      </c>
    </row>
    <row r="122" spans="1:14" x14ac:dyDescent="0.25">
      <c r="A122" s="5">
        <v>118</v>
      </c>
      <c r="B122" s="6"/>
      <c r="C122" s="5"/>
      <c r="D122" s="5"/>
      <c r="E122" s="7"/>
      <c r="F122" s="5"/>
      <c r="G122" s="7"/>
      <c r="H122" s="5"/>
      <c r="I122" s="6"/>
      <c r="J122" s="5"/>
      <c r="K122" s="6"/>
      <c r="L122" s="7"/>
      <c r="M122" s="8">
        <f>IF(OR(I122="",K122&lt;&gt;""),"",I122-TODAY())</f>
      </c>
      <c r="N122" s="8">
        <f>IF(E122="","",IF(K122&lt;&gt;"",IF(L122="","Preuve à joindre","Levée"),IF(I122="","À planifier",IF(M122&lt;0,"En retard","En cours"))))</f>
      </c>
    </row>
    <row r="123" spans="1:14" x14ac:dyDescent="0.25">
      <c r="A123" s="5">
        <v>119</v>
      </c>
      <c r="B123" s="6"/>
      <c r="C123" s="5"/>
      <c r="D123" s="5"/>
      <c r="E123" s="7"/>
      <c r="F123" s="5"/>
      <c r="G123" s="7"/>
      <c r="H123" s="5"/>
      <c r="I123" s="6"/>
      <c r="J123" s="5"/>
      <c r="K123" s="6"/>
      <c r="L123" s="7"/>
      <c r="M123" s="8">
        <f>IF(OR(I123="",K123&lt;&gt;""),"",I123-TODAY())</f>
      </c>
      <c r="N123" s="8">
        <f>IF(E123="","",IF(K123&lt;&gt;"",IF(L123="","Preuve à joindre","Levée"),IF(I123="","À planifier",IF(M123&lt;0,"En retard","En cours"))))</f>
      </c>
    </row>
    <row r="124" spans="1:14" x14ac:dyDescent="0.25">
      <c r="A124" s="5">
        <v>120</v>
      </c>
      <c r="B124" s="6"/>
      <c r="C124" s="5"/>
      <c r="D124" s="5"/>
      <c r="E124" s="7"/>
      <c r="F124" s="5"/>
      <c r="G124" s="7"/>
      <c r="H124" s="5"/>
      <c r="I124" s="6"/>
      <c r="J124" s="5"/>
      <c r="K124" s="6"/>
      <c r="L124" s="7"/>
      <c r="M124" s="8">
        <f>IF(OR(I124="",K124&lt;&gt;""),"",I124-TODAY())</f>
      </c>
      <c r="N124" s="8">
        <f>IF(E124="","",IF(K124&lt;&gt;"",IF(L124="","Preuve à joindre","Levée"),IF(I124="","À planifier",IF(M124&lt;0,"En retard","En cours"))))</f>
      </c>
    </row>
    <row r="125" spans="1:14" x14ac:dyDescent="0.25">
      <c r="A125" s="5">
        <v>121</v>
      </c>
      <c r="B125" s="6"/>
      <c r="C125" s="5"/>
      <c r="D125" s="5"/>
      <c r="E125" s="7"/>
      <c r="F125" s="5"/>
      <c r="G125" s="7"/>
      <c r="H125" s="5"/>
      <c r="I125" s="6"/>
      <c r="J125" s="5"/>
      <c r="K125" s="6"/>
      <c r="L125" s="7"/>
      <c r="M125" s="8">
        <f>IF(OR(I125="",K125&lt;&gt;""),"",I125-TODAY())</f>
      </c>
      <c r="N125" s="8">
        <f>IF(E125="","",IF(K125&lt;&gt;"",IF(L125="","Preuve à joindre","Levée"),IF(I125="","À planifier",IF(M125&lt;0,"En retard","En cours"))))</f>
      </c>
    </row>
    <row r="126" spans="1:14" x14ac:dyDescent="0.25">
      <c r="A126" s="5">
        <v>122</v>
      </c>
      <c r="B126" s="6"/>
      <c r="C126" s="5"/>
      <c r="D126" s="5"/>
      <c r="E126" s="7"/>
      <c r="F126" s="5"/>
      <c r="G126" s="7"/>
      <c r="H126" s="5"/>
      <c r="I126" s="6"/>
      <c r="J126" s="5"/>
      <c r="K126" s="6"/>
      <c r="L126" s="7"/>
      <c r="M126" s="8">
        <f>IF(OR(I126="",K126&lt;&gt;""),"",I126-TODAY())</f>
      </c>
      <c r="N126" s="8">
        <f>IF(E126="","",IF(K126&lt;&gt;"",IF(L126="","Preuve à joindre","Levée"),IF(I126="","À planifier",IF(M126&lt;0,"En retard","En cours"))))</f>
      </c>
    </row>
    <row r="127" spans="1:14" x14ac:dyDescent="0.25">
      <c r="A127" s="5">
        <v>123</v>
      </c>
      <c r="B127" s="6"/>
      <c r="C127" s="5"/>
      <c r="D127" s="5"/>
      <c r="E127" s="7"/>
      <c r="F127" s="5"/>
      <c r="G127" s="7"/>
      <c r="H127" s="5"/>
      <c r="I127" s="6"/>
      <c r="J127" s="5"/>
      <c r="K127" s="6"/>
      <c r="L127" s="7"/>
      <c r="M127" s="8">
        <f>IF(OR(I127="",K127&lt;&gt;""),"",I127-TODAY())</f>
      </c>
      <c r="N127" s="8">
        <f>IF(E127="","",IF(K127&lt;&gt;"",IF(L127="","Preuve à joindre","Levée"),IF(I127="","À planifier",IF(M127&lt;0,"En retard","En cours"))))</f>
      </c>
    </row>
    <row r="128" spans="1:14" x14ac:dyDescent="0.25">
      <c r="A128" s="5">
        <v>124</v>
      </c>
      <c r="B128" s="6"/>
      <c r="C128" s="5"/>
      <c r="D128" s="5"/>
      <c r="E128" s="7"/>
      <c r="F128" s="5"/>
      <c r="G128" s="7"/>
      <c r="H128" s="5"/>
      <c r="I128" s="6"/>
      <c r="J128" s="5"/>
      <c r="K128" s="6"/>
      <c r="L128" s="7"/>
      <c r="M128" s="8">
        <f>IF(OR(I128="",K128&lt;&gt;""),"",I128-TODAY())</f>
      </c>
      <c r="N128" s="8">
        <f>IF(E128="","",IF(K128&lt;&gt;"",IF(L128="","Preuve à joindre","Levée"),IF(I128="","À planifier",IF(M128&lt;0,"En retard","En cours"))))</f>
      </c>
    </row>
    <row r="129" spans="1:14" x14ac:dyDescent="0.25">
      <c r="A129" s="5">
        <v>125</v>
      </c>
      <c r="B129" s="6"/>
      <c r="C129" s="5"/>
      <c r="D129" s="5"/>
      <c r="E129" s="7"/>
      <c r="F129" s="5"/>
      <c r="G129" s="7"/>
      <c r="H129" s="5"/>
      <c r="I129" s="6"/>
      <c r="J129" s="5"/>
      <c r="K129" s="6"/>
      <c r="L129" s="7"/>
      <c r="M129" s="8">
        <f>IF(OR(I129="",K129&lt;&gt;""),"",I129-TODAY())</f>
      </c>
      <c r="N129" s="8">
        <f>IF(E129="","",IF(K129&lt;&gt;"",IF(L129="","Preuve à joindre","Levée"),IF(I129="","À planifier",IF(M129&lt;0,"En retard","En cours"))))</f>
      </c>
    </row>
    <row r="130" spans="1:14" x14ac:dyDescent="0.25">
      <c r="A130" s="5">
        <v>126</v>
      </c>
      <c r="B130" s="6"/>
      <c r="C130" s="5"/>
      <c r="D130" s="5"/>
      <c r="E130" s="7"/>
      <c r="F130" s="5"/>
      <c r="G130" s="7"/>
      <c r="H130" s="5"/>
      <c r="I130" s="6"/>
      <c r="J130" s="5"/>
      <c r="K130" s="6"/>
      <c r="L130" s="7"/>
      <c r="M130" s="8">
        <f>IF(OR(I130="",K130&lt;&gt;""),"",I130-TODAY())</f>
      </c>
      <c r="N130" s="8">
        <f>IF(E130="","",IF(K130&lt;&gt;"",IF(L130="","Preuve à joindre","Levée"),IF(I130="","À planifier",IF(M130&lt;0,"En retard","En cours"))))</f>
      </c>
    </row>
    <row r="131" spans="1:14" x14ac:dyDescent="0.25">
      <c r="A131" s="5">
        <v>127</v>
      </c>
      <c r="B131" s="6"/>
      <c r="C131" s="5"/>
      <c r="D131" s="5"/>
      <c r="E131" s="7"/>
      <c r="F131" s="5"/>
      <c r="G131" s="7"/>
      <c r="H131" s="5"/>
      <c r="I131" s="6"/>
      <c r="J131" s="5"/>
      <c r="K131" s="6"/>
      <c r="L131" s="7"/>
      <c r="M131" s="8">
        <f>IF(OR(I131="",K131&lt;&gt;""),"",I131-TODAY())</f>
      </c>
      <c r="N131" s="8">
        <f>IF(E131="","",IF(K131&lt;&gt;"",IF(L131="","Preuve à joindre","Levée"),IF(I131="","À planifier",IF(M131&lt;0,"En retard","En cours"))))</f>
      </c>
    </row>
    <row r="132" spans="1:14" x14ac:dyDescent="0.25">
      <c r="A132" s="5">
        <v>128</v>
      </c>
      <c r="B132" s="6"/>
      <c r="C132" s="5"/>
      <c r="D132" s="5"/>
      <c r="E132" s="7"/>
      <c r="F132" s="5"/>
      <c r="G132" s="7"/>
      <c r="H132" s="5"/>
      <c r="I132" s="6"/>
      <c r="J132" s="5"/>
      <c r="K132" s="6"/>
      <c r="L132" s="7"/>
      <c r="M132" s="8">
        <f>IF(OR(I132="",K132&lt;&gt;""),"",I132-TODAY())</f>
      </c>
      <c r="N132" s="8">
        <f>IF(E132="","",IF(K132&lt;&gt;"",IF(L132="","Preuve à joindre","Levée"),IF(I132="","À planifier",IF(M132&lt;0,"En retard","En cours"))))</f>
      </c>
    </row>
    <row r="133" spans="1:14" x14ac:dyDescent="0.25">
      <c r="A133" s="5">
        <v>129</v>
      </c>
      <c r="B133" s="6"/>
      <c r="C133" s="5"/>
      <c r="D133" s="5"/>
      <c r="E133" s="7"/>
      <c r="F133" s="5"/>
      <c r="G133" s="7"/>
      <c r="H133" s="5"/>
      <c r="I133" s="6"/>
      <c r="J133" s="5"/>
      <c r="K133" s="6"/>
      <c r="L133" s="7"/>
      <c r="M133" s="8">
        <f>IF(OR(I133="",K133&lt;&gt;""),"",I133-TODAY())</f>
      </c>
      <c r="N133" s="8">
        <f>IF(E133="","",IF(K133&lt;&gt;"",IF(L133="","Preuve à joindre","Levée"),IF(I133="","À planifier",IF(M133&lt;0,"En retard","En cours"))))</f>
      </c>
    </row>
    <row r="134" spans="1:14" x14ac:dyDescent="0.25">
      <c r="A134" s="5">
        <v>130</v>
      </c>
      <c r="B134" s="6"/>
      <c r="C134" s="5"/>
      <c r="D134" s="5"/>
      <c r="E134" s="7"/>
      <c r="F134" s="5"/>
      <c r="G134" s="7"/>
      <c r="H134" s="5"/>
      <c r="I134" s="6"/>
      <c r="J134" s="5"/>
      <c r="K134" s="6"/>
      <c r="L134" s="7"/>
      <c r="M134" s="8">
        <f>IF(OR(I134="",K134&lt;&gt;""),"",I134-TODAY())</f>
      </c>
      <c r="N134" s="8">
        <f>IF(E134="","",IF(K134&lt;&gt;"",IF(L134="","Preuve à joindre","Levée"),IF(I134="","À planifier",IF(M134&lt;0,"En retard","En cours"))))</f>
      </c>
    </row>
    <row r="135" spans="1:14" x14ac:dyDescent="0.25">
      <c r="A135" s="5">
        <v>131</v>
      </c>
      <c r="B135" s="6"/>
      <c r="C135" s="5"/>
      <c r="D135" s="5"/>
      <c r="E135" s="7"/>
      <c r="F135" s="5"/>
      <c r="G135" s="7"/>
      <c r="H135" s="5"/>
      <c r="I135" s="6"/>
      <c r="J135" s="5"/>
      <c r="K135" s="6"/>
      <c r="L135" s="7"/>
      <c r="M135" s="8">
        <f>IF(OR(I135="",K135&lt;&gt;""),"",I135-TODAY())</f>
      </c>
      <c r="N135" s="8">
        <f>IF(E135="","",IF(K135&lt;&gt;"",IF(L135="","Preuve à joindre","Levée"),IF(I135="","À planifier",IF(M135&lt;0,"En retard","En cours"))))</f>
      </c>
    </row>
    <row r="136" spans="1:14" x14ac:dyDescent="0.25">
      <c r="A136" s="5">
        <v>132</v>
      </c>
      <c r="B136" s="6"/>
      <c r="C136" s="5"/>
      <c r="D136" s="5"/>
      <c r="E136" s="7"/>
      <c r="F136" s="5"/>
      <c r="G136" s="7"/>
      <c r="H136" s="5"/>
      <c r="I136" s="6"/>
      <c r="J136" s="5"/>
      <c r="K136" s="6"/>
      <c r="L136" s="7"/>
      <c r="M136" s="8">
        <f>IF(OR(I136="",K136&lt;&gt;""),"",I136-TODAY())</f>
      </c>
      <c r="N136" s="8">
        <f>IF(E136="","",IF(K136&lt;&gt;"",IF(L136="","Preuve à joindre","Levée"),IF(I136="","À planifier",IF(M136&lt;0,"En retard","En cours"))))</f>
      </c>
    </row>
    <row r="137" spans="1:14" x14ac:dyDescent="0.25">
      <c r="A137" s="5">
        <v>133</v>
      </c>
      <c r="B137" s="6"/>
      <c r="C137" s="5"/>
      <c r="D137" s="5"/>
      <c r="E137" s="7"/>
      <c r="F137" s="5"/>
      <c r="G137" s="7"/>
      <c r="H137" s="5"/>
      <c r="I137" s="6"/>
      <c r="J137" s="5"/>
      <c r="K137" s="6"/>
      <c r="L137" s="7"/>
      <c r="M137" s="8">
        <f>IF(OR(I137="",K137&lt;&gt;""),"",I137-TODAY())</f>
      </c>
      <c r="N137" s="8">
        <f>IF(E137="","",IF(K137&lt;&gt;"",IF(L137="","Preuve à joindre","Levée"),IF(I137="","À planifier",IF(M137&lt;0,"En retard","En cours"))))</f>
      </c>
    </row>
    <row r="138" spans="1:14" x14ac:dyDescent="0.25">
      <c r="A138" s="5">
        <v>134</v>
      </c>
      <c r="B138" s="6"/>
      <c r="C138" s="5"/>
      <c r="D138" s="5"/>
      <c r="E138" s="7"/>
      <c r="F138" s="5"/>
      <c r="G138" s="7"/>
      <c r="H138" s="5"/>
      <c r="I138" s="6"/>
      <c r="J138" s="5"/>
      <c r="K138" s="6"/>
      <c r="L138" s="7"/>
      <c r="M138" s="8">
        <f>IF(OR(I138="",K138&lt;&gt;""),"",I138-TODAY())</f>
      </c>
      <c r="N138" s="8">
        <f>IF(E138="","",IF(K138&lt;&gt;"",IF(L138="","Preuve à joindre","Levée"),IF(I138="","À planifier",IF(M138&lt;0,"En retard","En cours"))))</f>
      </c>
    </row>
    <row r="139" spans="1:14" x14ac:dyDescent="0.25">
      <c r="A139" s="5">
        <v>135</v>
      </c>
      <c r="B139" s="6"/>
      <c r="C139" s="5"/>
      <c r="D139" s="5"/>
      <c r="E139" s="7"/>
      <c r="F139" s="5"/>
      <c r="G139" s="7"/>
      <c r="H139" s="5"/>
      <c r="I139" s="6"/>
      <c r="J139" s="5"/>
      <c r="K139" s="6"/>
      <c r="L139" s="7"/>
      <c r="M139" s="8">
        <f>IF(OR(I139="",K139&lt;&gt;""),"",I139-TODAY())</f>
      </c>
      <c r="N139" s="8">
        <f>IF(E139="","",IF(K139&lt;&gt;"",IF(L139="","Preuve à joindre","Levée"),IF(I139="","À planifier",IF(M139&lt;0,"En retard","En cours"))))</f>
      </c>
    </row>
    <row r="140" spans="1:14" x14ac:dyDescent="0.25">
      <c r="A140" s="5">
        <v>136</v>
      </c>
      <c r="B140" s="6"/>
      <c r="C140" s="5"/>
      <c r="D140" s="5"/>
      <c r="E140" s="7"/>
      <c r="F140" s="5"/>
      <c r="G140" s="7"/>
      <c r="H140" s="5"/>
      <c r="I140" s="6"/>
      <c r="J140" s="5"/>
      <c r="K140" s="6"/>
      <c r="L140" s="7"/>
      <c r="M140" s="8">
        <f>IF(OR(I140="",K140&lt;&gt;""),"",I140-TODAY())</f>
      </c>
      <c r="N140" s="8">
        <f>IF(E140="","",IF(K140&lt;&gt;"",IF(L140="","Preuve à joindre","Levée"),IF(I140="","À planifier",IF(M140&lt;0,"En retard","En cours"))))</f>
      </c>
    </row>
    <row r="141" spans="1:14" x14ac:dyDescent="0.25">
      <c r="A141" s="5">
        <v>137</v>
      </c>
      <c r="B141" s="6"/>
      <c r="C141" s="5"/>
      <c r="D141" s="5"/>
      <c r="E141" s="7"/>
      <c r="F141" s="5"/>
      <c r="G141" s="7"/>
      <c r="H141" s="5"/>
      <c r="I141" s="6"/>
      <c r="J141" s="5"/>
      <c r="K141" s="6"/>
      <c r="L141" s="7"/>
      <c r="M141" s="8">
        <f>IF(OR(I141="",K141&lt;&gt;""),"",I141-TODAY())</f>
      </c>
      <c r="N141" s="8">
        <f>IF(E141="","",IF(K141&lt;&gt;"",IF(L141="","Preuve à joindre","Levée"),IF(I141="","À planifier",IF(M141&lt;0,"En retard","En cours"))))</f>
      </c>
    </row>
    <row r="142" spans="1:14" x14ac:dyDescent="0.25">
      <c r="A142" s="5">
        <v>138</v>
      </c>
      <c r="B142" s="6"/>
      <c r="C142" s="5"/>
      <c r="D142" s="5"/>
      <c r="E142" s="7"/>
      <c r="F142" s="5"/>
      <c r="G142" s="7"/>
      <c r="H142" s="5"/>
      <c r="I142" s="6"/>
      <c r="J142" s="5"/>
      <c r="K142" s="6"/>
      <c r="L142" s="7"/>
      <c r="M142" s="8">
        <f>IF(OR(I142="",K142&lt;&gt;""),"",I142-TODAY())</f>
      </c>
      <c r="N142" s="8">
        <f>IF(E142="","",IF(K142&lt;&gt;"",IF(L142="","Preuve à joindre","Levée"),IF(I142="","À planifier",IF(M142&lt;0,"En retard","En cours"))))</f>
      </c>
    </row>
    <row r="143" spans="1:14" x14ac:dyDescent="0.25">
      <c r="A143" s="5">
        <v>139</v>
      </c>
      <c r="B143" s="6"/>
      <c r="C143" s="5"/>
      <c r="D143" s="5"/>
      <c r="E143" s="7"/>
      <c r="F143" s="5"/>
      <c r="G143" s="7"/>
      <c r="H143" s="5"/>
      <c r="I143" s="6"/>
      <c r="J143" s="5"/>
      <c r="K143" s="6"/>
      <c r="L143" s="7"/>
      <c r="M143" s="8">
        <f>IF(OR(I143="",K143&lt;&gt;""),"",I143-TODAY())</f>
      </c>
      <c r="N143" s="8">
        <f>IF(E143="","",IF(K143&lt;&gt;"",IF(L143="","Preuve à joindre","Levée"),IF(I143="","À planifier",IF(M143&lt;0,"En retard","En cours"))))</f>
      </c>
    </row>
    <row r="144" spans="1:14" x14ac:dyDescent="0.25">
      <c r="A144" s="5">
        <v>140</v>
      </c>
      <c r="B144" s="6"/>
      <c r="C144" s="5"/>
      <c r="D144" s="5"/>
      <c r="E144" s="7"/>
      <c r="F144" s="5"/>
      <c r="G144" s="7"/>
      <c r="H144" s="5"/>
      <c r="I144" s="6"/>
      <c r="J144" s="5"/>
      <c r="K144" s="6"/>
      <c r="L144" s="7"/>
      <c r="M144" s="8">
        <f>IF(OR(I144="",K144&lt;&gt;""),"",I144-TODAY())</f>
      </c>
      <c r="N144" s="8">
        <f>IF(E144="","",IF(K144&lt;&gt;"",IF(L144="","Preuve à joindre","Levée"),IF(I144="","À planifier",IF(M144&lt;0,"En retard","En cours"))))</f>
      </c>
    </row>
    <row r="145" spans="1:14" x14ac:dyDescent="0.25">
      <c r="A145" s="5">
        <v>141</v>
      </c>
      <c r="B145" s="6"/>
      <c r="C145" s="5"/>
      <c r="D145" s="5"/>
      <c r="E145" s="7"/>
      <c r="F145" s="5"/>
      <c r="G145" s="7"/>
      <c r="H145" s="5"/>
      <c r="I145" s="6"/>
      <c r="J145" s="5"/>
      <c r="K145" s="6"/>
      <c r="L145" s="7"/>
      <c r="M145" s="8">
        <f>IF(OR(I145="",K145&lt;&gt;""),"",I145-TODAY())</f>
      </c>
      <c r="N145" s="8">
        <f>IF(E145="","",IF(K145&lt;&gt;"",IF(L145="","Preuve à joindre","Levée"),IF(I145="","À planifier",IF(M145&lt;0,"En retard","En cours"))))</f>
      </c>
    </row>
    <row r="146" spans="1:14" x14ac:dyDescent="0.25">
      <c r="A146" s="5">
        <v>142</v>
      </c>
      <c r="B146" s="6"/>
      <c r="C146" s="5"/>
      <c r="D146" s="5"/>
      <c r="E146" s="7"/>
      <c r="F146" s="5"/>
      <c r="G146" s="7"/>
      <c r="H146" s="5"/>
      <c r="I146" s="6"/>
      <c r="J146" s="5"/>
      <c r="K146" s="6"/>
      <c r="L146" s="7"/>
      <c r="M146" s="8">
        <f>IF(OR(I146="",K146&lt;&gt;""),"",I146-TODAY())</f>
      </c>
      <c r="N146" s="8">
        <f>IF(E146="","",IF(K146&lt;&gt;"",IF(L146="","Preuve à joindre","Levée"),IF(I146="","À planifier",IF(M146&lt;0,"En retard","En cours"))))</f>
      </c>
    </row>
    <row r="147" spans="1:14" x14ac:dyDescent="0.25">
      <c r="A147" s="5">
        <v>143</v>
      </c>
      <c r="B147" s="6"/>
      <c r="C147" s="5"/>
      <c r="D147" s="5"/>
      <c r="E147" s="7"/>
      <c r="F147" s="5"/>
      <c r="G147" s="7"/>
      <c r="H147" s="5"/>
      <c r="I147" s="6"/>
      <c r="J147" s="5"/>
      <c r="K147" s="6"/>
      <c r="L147" s="7"/>
      <c r="M147" s="8">
        <f>IF(OR(I147="",K147&lt;&gt;""),"",I147-TODAY())</f>
      </c>
      <c r="N147" s="8">
        <f>IF(E147="","",IF(K147&lt;&gt;"",IF(L147="","Preuve à joindre","Levée"),IF(I147="","À planifier",IF(M147&lt;0,"En retard","En cours"))))</f>
      </c>
    </row>
    <row r="148" spans="1:14" x14ac:dyDescent="0.25">
      <c r="A148" s="5">
        <v>144</v>
      </c>
      <c r="B148" s="6"/>
      <c r="C148" s="5"/>
      <c r="D148" s="5"/>
      <c r="E148" s="7"/>
      <c r="F148" s="5"/>
      <c r="G148" s="7"/>
      <c r="H148" s="5"/>
      <c r="I148" s="6"/>
      <c r="J148" s="5"/>
      <c r="K148" s="6"/>
      <c r="L148" s="7"/>
      <c r="M148" s="8">
        <f>IF(OR(I148="",K148&lt;&gt;""),"",I148-TODAY())</f>
      </c>
      <c r="N148" s="8">
        <f>IF(E148="","",IF(K148&lt;&gt;"",IF(L148="","Preuve à joindre","Levée"),IF(I148="","À planifier",IF(M148&lt;0,"En retard","En cours"))))</f>
      </c>
    </row>
    <row r="149" spans="1:14" x14ac:dyDescent="0.25">
      <c r="A149" s="5">
        <v>145</v>
      </c>
      <c r="B149" s="6"/>
      <c r="C149" s="5"/>
      <c r="D149" s="5"/>
      <c r="E149" s="7"/>
      <c r="F149" s="5"/>
      <c r="G149" s="7"/>
      <c r="H149" s="5"/>
      <c r="I149" s="6"/>
      <c r="J149" s="5"/>
      <c r="K149" s="6"/>
      <c r="L149" s="7"/>
      <c r="M149" s="8">
        <f>IF(OR(I149="",K149&lt;&gt;""),"",I149-TODAY())</f>
      </c>
      <c r="N149" s="8">
        <f>IF(E149="","",IF(K149&lt;&gt;"",IF(L149="","Preuve à joindre","Levée"),IF(I149="","À planifier",IF(M149&lt;0,"En retard","En cours"))))</f>
      </c>
    </row>
    <row r="150" spans="1:14" x14ac:dyDescent="0.25">
      <c r="A150" s="5">
        <v>146</v>
      </c>
      <c r="B150" s="6"/>
      <c r="C150" s="5"/>
      <c r="D150" s="5"/>
      <c r="E150" s="7"/>
      <c r="F150" s="5"/>
      <c r="G150" s="7"/>
      <c r="H150" s="5"/>
      <c r="I150" s="6"/>
      <c r="J150" s="5"/>
      <c r="K150" s="6"/>
      <c r="L150" s="7"/>
      <c r="M150" s="8">
        <f>IF(OR(I150="",K150&lt;&gt;""),"",I150-TODAY())</f>
      </c>
      <c r="N150" s="8">
        <f>IF(E150="","",IF(K150&lt;&gt;"",IF(L150="","Preuve à joindre","Levée"),IF(I150="","À planifier",IF(M150&lt;0,"En retard","En cours"))))</f>
      </c>
    </row>
    <row r="151" spans="1:14" x14ac:dyDescent="0.25">
      <c r="A151" s="5">
        <v>147</v>
      </c>
      <c r="B151" s="6"/>
      <c r="C151" s="5"/>
      <c r="D151" s="5"/>
      <c r="E151" s="7"/>
      <c r="F151" s="5"/>
      <c r="G151" s="7"/>
      <c r="H151" s="5"/>
      <c r="I151" s="6"/>
      <c r="J151" s="5"/>
      <c r="K151" s="6"/>
      <c r="L151" s="7"/>
      <c r="M151" s="8">
        <f>IF(OR(I151="",K151&lt;&gt;""),"",I151-TODAY())</f>
      </c>
      <c r="N151" s="8">
        <f>IF(E151="","",IF(K151&lt;&gt;"",IF(L151="","Preuve à joindre","Levée"),IF(I151="","À planifier",IF(M151&lt;0,"En retard","En cours"))))</f>
      </c>
    </row>
    <row r="152" spans="1:14" x14ac:dyDescent="0.25">
      <c r="A152" s="5">
        <v>148</v>
      </c>
      <c r="B152" s="6"/>
      <c r="C152" s="5"/>
      <c r="D152" s="5"/>
      <c r="E152" s="7"/>
      <c r="F152" s="5"/>
      <c r="G152" s="7"/>
      <c r="H152" s="5"/>
      <c r="I152" s="6"/>
      <c r="J152" s="5"/>
      <c r="K152" s="6"/>
      <c r="L152" s="7"/>
      <c r="M152" s="8">
        <f>IF(OR(I152="",K152&lt;&gt;""),"",I152-TODAY())</f>
      </c>
      <c r="N152" s="8">
        <f>IF(E152="","",IF(K152&lt;&gt;"",IF(L152="","Preuve à joindre","Levée"),IF(I152="","À planifier",IF(M152&lt;0,"En retard","En cours"))))</f>
      </c>
    </row>
    <row r="153" spans="1:14" x14ac:dyDescent="0.25">
      <c r="A153" s="5">
        <v>149</v>
      </c>
      <c r="B153" s="6"/>
      <c r="C153" s="5"/>
      <c r="D153" s="5"/>
      <c r="E153" s="7"/>
      <c r="F153" s="5"/>
      <c r="G153" s="7"/>
      <c r="H153" s="5"/>
      <c r="I153" s="6"/>
      <c r="J153" s="5"/>
      <c r="K153" s="6"/>
      <c r="L153" s="7"/>
      <c r="M153" s="8">
        <f>IF(OR(I153="",K153&lt;&gt;""),"",I153-TODAY())</f>
      </c>
      <c r="N153" s="8">
        <f>IF(E153="","",IF(K153&lt;&gt;"",IF(L153="","Preuve à joindre","Levée"),IF(I153="","À planifier",IF(M153&lt;0,"En retard","En cours"))))</f>
      </c>
    </row>
    <row r="154" spans="1:14" x14ac:dyDescent="0.25">
      <c r="A154" s="5">
        <v>150</v>
      </c>
      <c r="B154" s="6"/>
      <c r="C154" s="5"/>
      <c r="D154" s="5"/>
      <c r="E154" s="7"/>
      <c r="F154" s="5"/>
      <c r="G154" s="7"/>
      <c r="H154" s="5"/>
      <c r="I154" s="6"/>
      <c r="J154" s="5"/>
      <c r="K154" s="6"/>
      <c r="L154" s="7"/>
      <c r="M154" s="8">
        <f>IF(OR(I154="",K154&lt;&gt;""),"",I154-TODAY())</f>
      </c>
      <c r="N154" s="8">
        <f>IF(E154="","",IF(K154&lt;&gt;"",IF(L154="","Preuve à joindre","Levée"),IF(I154="","À planifier",IF(M154&lt;0,"En retard","En cours"))))</f>
      </c>
    </row>
    <row r="155" spans="1:14" x14ac:dyDescent="0.25">
      <c r="A155" s="5">
        <v>151</v>
      </c>
      <c r="B155" s="6"/>
      <c r="C155" s="5"/>
      <c r="D155" s="5"/>
      <c r="E155" s="7"/>
      <c r="F155" s="5"/>
      <c r="G155" s="7"/>
      <c r="H155" s="5"/>
      <c r="I155" s="6"/>
      <c r="J155" s="5"/>
      <c r="K155" s="6"/>
      <c r="L155" s="7"/>
      <c r="M155" s="8">
        <f>IF(OR(I155="",K155&lt;&gt;""),"",I155-TODAY())</f>
      </c>
      <c r="N155" s="8">
        <f>IF(E155="","",IF(K155&lt;&gt;"",IF(L155="","Preuve à joindre","Levée"),IF(I155="","À planifier",IF(M155&lt;0,"En retard","En cours"))))</f>
      </c>
    </row>
    <row r="156" spans="1:14" x14ac:dyDescent="0.25">
      <c r="A156" s="5">
        <v>152</v>
      </c>
      <c r="B156" s="6"/>
      <c r="C156" s="5"/>
      <c r="D156" s="5"/>
      <c r="E156" s="7"/>
      <c r="F156" s="5"/>
      <c r="G156" s="7"/>
      <c r="H156" s="5"/>
      <c r="I156" s="6"/>
      <c r="J156" s="5"/>
      <c r="K156" s="6"/>
      <c r="L156" s="7"/>
      <c r="M156" s="8">
        <f>IF(OR(I156="",K156&lt;&gt;""),"",I156-TODAY())</f>
      </c>
      <c r="N156" s="8">
        <f>IF(E156="","",IF(K156&lt;&gt;"",IF(L156="","Preuve à joindre","Levée"),IF(I156="","À planifier",IF(M156&lt;0,"En retard","En cours"))))</f>
      </c>
    </row>
    <row r="157" spans="1:14" x14ac:dyDescent="0.25">
      <c r="A157" s="5">
        <v>153</v>
      </c>
      <c r="B157" s="6"/>
      <c r="C157" s="5"/>
      <c r="D157" s="5"/>
      <c r="E157" s="7"/>
      <c r="F157" s="5"/>
      <c r="G157" s="7"/>
      <c r="H157" s="5"/>
      <c r="I157" s="6"/>
      <c r="J157" s="5"/>
      <c r="K157" s="6"/>
      <c r="L157" s="7"/>
      <c r="M157" s="8">
        <f>IF(OR(I157="",K157&lt;&gt;""),"",I157-TODAY())</f>
      </c>
      <c r="N157" s="8">
        <f>IF(E157="","",IF(K157&lt;&gt;"",IF(L157="","Preuve à joindre","Levée"),IF(I157="","À planifier",IF(M157&lt;0,"En retard","En cours"))))</f>
      </c>
    </row>
    <row r="158" spans="1:14" x14ac:dyDescent="0.25">
      <c r="A158" s="5">
        <v>154</v>
      </c>
      <c r="B158" s="6"/>
      <c r="C158" s="5"/>
      <c r="D158" s="5"/>
      <c r="E158" s="7"/>
      <c r="F158" s="5"/>
      <c r="G158" s="7"/>
      <c r="H158" s="5"/>
      <c r="I158" s="6"/>
      <c r="J158" s="5"/>
      <c r="K158" s="6"/>
      <c r="L158" s="7"/>
      <c r="M158" s="8">
        <f>IF(OR(I158="",K158&lt;&gt;""),"",I158-TODAY())</f>
      </c>
      <c r="N158" s="8">
        <f>IF(E158="","",IF(K158&lt;&gt;"",IF(L158="","Preuve à joindre","Levée"),IF(I158="","À planifier",IF(M158&lt;0,"En retard","En cours"))))</f>
      </c>
    </row>
    <row r="159" spans="1:14" x14ac:dyDescent="0.25">
      <c r="A159" s="5">
        <v>155</v>
      </c>
      <c r="B159" s="6"/>
      <c r="C159" s="5"/>
      <c r="D159" s="5"/>
      <c r="E159" s="7"/>
      <c r="F159" s="5"/>
      <c r="G159" s="7"/>
      <c r="H159" s="5"/>
      <c r="I159" s="6"/>
      <c r="J159" s="5"/>
      <c r="K159" s="6"/>
      <c r="L159" s="7"/>
      <c r="M159" s="8">
        <f>IF(OR(I159="",K159&lt;&gt;""),"",I159-TODAY())</f>
      </c>
      <c r="N159" s="8">
        <f>IF(E159="","",IF(K159&lt;&gt;"",IF(L159="","Preuve à joindre","Levée"),IF(I159="","À planifier",IF(M159&lt;0,"En retard","En cours"))))</f>
      </c>
    </row>
    <row r="160" spans="1:14" x14ac:dyDescent="0.25">
      <c r="A160" s="5">
        <v>156</v>
      </c>
      <c r="B160" s="6"/>
      <c r="C160" s="5"/>
      <c r="D160" s="5"/>
      <c r="E160" s="7"/>
      <c r="F160" s="5"/>
      <c r="G160" s="7"/>
      <c r="H160" s="5"/>
      <c r="I160" s="6"/>
      <c r="J160" s="5"/>
      <c r="K160" s="6"/>
      <c r="L160" s="7"/>
      <c r="M160" s="8">
        <f>IF(OR(I160="",K160&lt;&gt;""),"",I160-TODAY())</f>
      </c>
      <c r="N160" s="8">
        <f>IF(E160="","",IF(K160&lt;&gt;"",IF(L160="","Preuve à joindre","Levée"),IF(I160="","À planifier",IF(M160&lt;0,"En retard","En cours"))))</f>
      </c>
    </row>
    <row r="161" spans="1:14" x14ac:dyDescent="0.25">
      <c r="A161" s="5">
        <v>157</v>
      </c>
      <c r="B161" s="6"/>
      <c r="C161" s="5"/>
      <c r="D161" s="5"/>
      <c r="E161" s="7"/>
      <c r="F161" s="5"/>
      <c r="G161" s="7"/>
      <c r="H161" s="5"/>
      <c r="I161" s="6"/>
      <c r="J161" s="5"/>
      <c r="K161" s="6"/>
      <c r="L161" s="7"/>
      <c r="M161" s="8">
        <f>IF(OR(I161="",K161&lt;&gt;""),"",I161-TODAY())</f>
      </c>
      <c r="N161" s="8">
        <f>IF(E161="","",IF(K161&lt;&gt;"",IF(L161="","Preuve à joindre","Levée"),IF(I161="","À planifier",IF(M161&lt;0,"En retard","En cours"))))</f>
      </c>
    </row>
    <row r="162" spans="1:14" x14ac:dyDescent="0.25">
      <c r="A162" s="5">
        <v>158</v>
      </c>
      <c r="B162" s="6"/>
      <c r="C162" s="5"/>
      <c r="D162" s="5"/>
      <c r="E162" s="7"/>
      <c r="F162" s="5"/>
      <c r="G162" s="7"/>
      <c r="H162" s="5"/>
      <c r="I162" s="6"/>
      <c r="J162" s="5"/>
      <c r="K162" s="6"/>
      <c r="L162" s="7"/>
      <c r="M162" s="8">
        <f>IF(OR(I162="",K162&lt;&gt;""),"",I162-TODAY())</f>
      </c>
      <c r="N162" s="8">
        <f>IF(E162="","",IF(K162&lt;&gt;"",IF(L162="","Preuve à joindre","Levée"),IF(I162="","À planifier",IF(M162&lt;0,"En retard","En cours"))))</f>
      </c>
    </row>
    <row r="163" spans="1:14" x14ac:dyDescent="0.25">
      <c r="A163" s="5">
        <v>159</v>
      </c>
      <c r="B163" s="6"/>
      <c r="C163" s="5"/>
      <c r="D163" s="5"/>
      <c r="E163" s="7"/>
      <c r="F163" s="5"/>
      <c r="G163" s="7"/>
      <c r="H163" s="5"/>
      <c r="I163" s="6"/>
      <c r="J163" s="5"/>
      <c r="K163" s="6"/>
      <c r="L163" s="7"/>
      <c r="M163" s="8">
        <f>IF(OR(I163="",K163&lt;&gt;""),"",I163-TODAY())</f>
      </c>
      <c r="N163" s="8">
        <f>IF(E163="","",IF(K163&lt;&gt;"",IF(L163="","Preuve à joindre","Levée"),IF(I163="","À planifier",IF(M163&lt;0,"En retard","En cours"))))</f>
      </c>
    </row>
    <row r="164" spans="1:14" x14ac:dyDescent="0.25">
      <c r="A164" s="5">
        <v>160</v>
      </c>
      <c r="B164" s="6"/>
      <c r="C164" s="5"/>
      <c r="D164" s="5"/>
      <c r="E164" s="7"/>
      <c r="F164" s="5"/>
      <c r="G164" s="7"/>
      <c r="H164" s="5"/>
      <c r="I164" s="6"/>
      <c r="J164" s="5"/>
      <c r="K164" s="6"/>
      <c r="L164" s="7"/>
      <c r="M164" s="8">
        <f>IF(OR(I164="",K164&lt;&gt;""),"",I164-TODAY())</f>
      </c>
      <c r="N164" s="8">
        <f>IF(E164="","",IF(K164&lt;&gt;"",IF(L164="","Preuve à joindre","Levée"),IF(I164="","À planifier",IF(M164&lt;0,"En retard","En cours"))))</f>
      </c>
    </row>
    <row r="165" spans="1:14" x14ac:dyDescent="0.25">
      <c r="A165" s="5">
        <v>161</v>
      </c>
      <c r="B165" s="6"/>
      <c r="C165" s="5"/>
      <c r="D165" s="5"/>
      <c r="E165" s="7"/>
      <c r="F165" s="5"/>
      <c r="G165" s="7"/>
      <c r="H165" s="5"/>
      <c r="I165" s="6"/>
      <c r="J165" s="5"/>
      <c r="K165" s="6"/>
      <c r="L165" s="7"/>
      <c r="M165" s="8">
        <f>IF(OR(I165="",K165&lt;&gt;""),"",I165-TODAY())</f>
      </c>
      <c r="N165" s="8">
        <f>IF(E165="","",IF(K165&lt;&gt;"",IF(L165="","Preuve à joindre","Levée"),IF(I165="","À planifier",IF(M165&lt;0,"En retard","En cours"))))</f>
      </c>
    </row>
    <row r="166" spans="1:14" x14ac:dyDescent="0.25">
      <c r="A166" s="5">
        <v>162</v>
      </c>
      <c r="B166" s="6"/>
      <c r="C166" s="5"/>
      <c r="D166" s="5"/>
      <c r="E166" s="7"/>
      <c r="F166" s="5"/>
      <c r="G166" s="7"/>
      <c r="H166" s="5"/>
      <c r="I166" s="6"/>
      <c r="J166" s="5"/>
      <c r="K166" s="6"/>
      <c r="L166" s="7"/>
      <c r="M166" s="8">
        <f>IF(OR(I166="",K166&lt;&gt;""),"",I166-TODAY())</f>
      </c>
      <c r="N166" s="8">
        <f>IF(E166="","",IF(K166&lt;&gt;"",IF(L166="","Preuve à joindre","Levée"),IF(I166="","À planifier",IF(M166&lt;0,"En retard","En cours"))))</f>
      </c>
    </row>
    <row r="167" spans="1:14" x14ac:dyDescent="0.25">
      <c r="A167" s="5">
        <v>163</v>
      </c>
      <c r="B167" s="6"/>
      <c r="C167" s="5"/>
      <c r="D167" s="5"/>
      <c r="E167" s="7"/>
      <c r="F167" s="5"/>
      <c r="G167" s="7"/>
      <c r="H167" s="5"/>
      <c r="I167" s="6"/>
      <c r="J167" s="5"/>
      <c r="K167" s="6"/>
      <c r="L167" s="7"/>
      <c r="M167" s="8">
        <f>IF(OR(I167="",K167&lt;&gt;""),"",I167-TODAY())</f>
      </c>
      <c r="N167" s="8">
        <f>IF(E167="","",IF(K167&lt;&gt;"",IF(L167="","Preuve à joindre","Levée"),IF(I167="","À planifier",IF(M167&lt;0,"En retard","En cours"))))</f>
      </c>
    </row>
    <row r="168" spans="1:14" x14ac:dyDescent="0.25">
      <c r="A168" s="5">
        <v>164</v>
      </c>
      <c r="B168" s="6"/>
      <c r="C168" s="5"/>
      <c r="D168" s="5"/>
      <c r="E168" s="7"/>
      <c r="F168" s="5"/>
      <c r="G168" s="7"/>
      <c r="H168" s="5"/>
      <c r="I168" s="6"/>
      <c r="J168" s="5"/>
      <c r="K168" s="6"/>
      <c r="L168" s="7"/>
      <c r="M168" s="8">
        <f>IF(OR(I168="",K168&lt;&gt;""),"",I168-TODAY())</f>
      </c>
      <c r="N168" s="8">
        <f>IF(E168="","",IF(K168&lt;&gt;"",IF(L168="","Preuve à joindre","Levée"),IF(I168="","À planifier",IF(M168&lt;0,"En retard","En cours"))))</f>
      </c>
    </row>
    <row r="169" spans="1:14" x14ac:dyDescent="0.25">
      <c r="A169" s="5">
        <v>165</v>
      </c>
      <c r="B169" s="6"/>
      <c r="C169" s="5"/>
      <c r="D169" s="5"/>
      <c r="E169" s="7"/>
      <c r="F169" s="5"/>
      <c r="G169" s="7"/>
      <c r="H169" s="5"/>
      <c r="I169" s="6"/>
      <c r="J169" s="5"/>
      <c r="K169" s="6"/>
      <c r="L169" s="7"/>
      <c r="M169" s="8">
        <f>IF(OR(I169="",K169&lt;&gt;""),"",I169-TODAY())</f>
      </c>
      <c r="N169" s="8">
        <f>IF(E169="","",IF(K169&lt;&gt;"",IF(L169="","Preuve à joindre","Levée"),IF(I169="","À planifier",IF(M169&lt;0,"En retard","En cours"))))</f>
      </c>
    </row>
    <row r="170" spans="1:14" x14ac:dyDescent="0.25">
      <c r="A170" s="5">
        <v>166</v>
      </c>
      <c r="B170" s="6"/>
      <c r="C170" s="5"/>
      <c r="D170" s="5"/>
      <c r="E170" s="7"/>
      <c r="F170" s="5"/>
      <c r="G170" s="7"/>
      <c r="H170" s="5"/>
      <c r="I170" s="6"/>
      <c r="J170" s="5"/>
      <c r="K170" s="6"/>
      <c r="L170" s="7"/>
      <c r="M170" s="8">
        <f>IF(OR(I170="",K170&lt;&gt;""),"",I170-TODAY())</f>
      </c>
      <c r="N170" s="8">
        <f>IF(E170="","",IF(K170&lt;&gt;"",IF(L170="","Preuve à joindre","Levée"),IF(I170="","À planifier",IF(M170&lt;0,"En retard","En cours"))))</f>
      </c>
    </row>
    <row r="171" spans="1:14" x14ac:dyDescent="0.25">
      <c r="A171" s="5">
        <v>167</v>
      </c>
      <c r="B171" s="6"/>
      <c r="C171" s="5"/>
      <c r="D171" s="5"/>
      <c r="E171" s="7"/>
      <c r="F171" s="5"/>
      <c r="G171" s="7"/>
      <c r="H171" s="5"/>
      <c r="I171" s="6"/>
      <c r="J171" s="5"/>
      <c r="K171" s="6"/>
      <c r="L171" s="7"/>
      <c r="M171" s="8">
        <f>IF(OR(I171="",K171&lt;&gt;""),"",I171-TODAY())</f>
      </c>
      <c r="N171" s="8">
        <f>IF(E171="","",IF(K171&lt;&gt;"",IF(L171="","Preuve à joindre","Levée"),IF(I171="","À planifier",IF(M171&lt;0,"En retard","En cours"))))</f>
      </c>
    </row>
    <row r="172" spans="1:14" x14ac:dyDescent="0.25">
      <c r="A172" s="5">
        <v>168</v>
      </c>
      <c r="B172" s="6"/>
      <c r="C172" s="5"/>
      <c r="D172" s="5"/>
      <c r="E172" s="7"/>
      <c r="F172" s="5"/>
      <c r="G172" s="7"/>
      <c r="H172" s="5"/>
      <c r="I172" s="6"/>
      <c r="J172" s="5"/>
      <c r="K172" s="6"/>
      <c r="L172" s="7"/>
      <c r="M172" s="8">
        <f>IF(OR(I172="",K172&lt;&gt;""),"",I172-TODAY())</f>
      </c>
      <c r="N172" s="8">
        <f>IF(E172="","",IF(K172&lt;&gt;"",IF(L172="","Preuve à joindre","Levée"),IF(I172="","À planifier",IF(M172&lt;0,"En retard","En cours"))))</f>
      </c>
    </row>
    <row r="173" spans="1:14" x14ac:dyDescent="0.25">
      <c r="A173" s="5">
        <v>169</v>
      </c>
      <c r="B173" s="6"/>
      <c r="C173" s="5"/>
      <c r="D173" s="5"/>
      <c r="E173" s="7"/>
      <c r="F173" s="5"/>
      <c r="G173" s="7"/>
      <c r="H173" s="5"/>
      <c r="I173" s="6"/>
      <c r="J173" s="5"/>
      <c r="K173" s="6"/>
      <c r="L173" s="7"/>
      <c r="M173" s="8">
        <f>IF(OR(I173="",K173&lt;&gt;""),"",I173-TODAY())</f>
      </c>
      <c r="N173" s="8">
        <f>IF(E173="","",IF(K173&lt;&gt;"",IF(L173="","Preuve à joindre","Levée"),IF(I173="","À planifier",IF(M173&lt;0,"En retard","En cours"))))</f>
      </c>
    </row>
    <row r="174" spans="1:14" x14ac:dyDescent="0.25">
      <c r="A174" s="5">
        <v>170</v>
      </c>
      <c r="B174" s="6"/>
      <c r="C174" s="5"/>
      <c r="D174" s="5"/>
      <c r="E174" s="7"/>
      <c r="F174" s="5"/>
      <c r="G174" s="7"/>
      <c r="H174" s="5"/>
      <c r="I174" s="6"/>
      <c r="J174" s="5"/>
      <c r="K174" s="6"/>
      <c r="L174" s="7"/>
      <c r="M174" s="8">
        <f>IF(OR(I174="",K174&lt;&gt;""),"",I174-TODAY())</f>
      </c>
      <c r="N174" s="8">
        <f>IF(E174="","",IF(K174&lt;&gt;"",IF(L174="","Preuve à joindre","Levée"),IF(I174="","À planifier",IF(M174&lt;0,"En retard","En cours"))))</f>
      </c>
    </row>
    <row r="175" spans="1:14" x14ac:dyDescent="0.25">
      <c r="A175" s="5">
        <v>171</v>
      </c>
      <c r="B175" s="6"/>
      <c r="C175" s="5"/>
      <c r="D175" s="5"/>
      <c r="E175" s="7"/>
      <c r="F175" s="5"/>
      <c r="G175" s="7"/>
      <c r="H175" s="5"/>
      <c r="I175" s="6"/>
      <c r="J175" s="5"/>
      <c r="K175" s="6"/>
      <c r="L175" s="7"/>
      <c r="M175" s="8">
        <f>IF(OR(I175="",K175&lt;&gt;""),"",I175-TODAY())</f>
      </c>
      <c r="N175" s="8">
        <f>IF(E175="","",IF(K175&lt;&gt;"",IF(L175="","Preuve à joindre","Levée"),IF(I175="","À planifier",IF(M175&lt;0,"En retard","En cours"))))</f>
      </c>
    </row>
    <row r="176" spans="1:14" x14ac:dyDescent="0.25">
      <c r="A176" s="5">
        <v>172</v>
      </c>
      <c r="B176" s="6"/>
      <c r="C176" s="5"/>
      <c r="D176" s="5"/>
      <c r="E176" s="7"/>
      <c r="F176" s="5"/>
      <c r="G176" s="7"/>
      <c r="H176" s="5"/>
      <c r="I176" s="6"/>
      <c r="J176" s="5"/>
      <c r="K176" s="6"/>
      <c r="L176" s="7"/>
      <c r="M176" s="8">
        <f>IF(OR(I176="",K176&lt;&gt;""),"",I176-TODAY())</f>
      </c>
      <c r="N176" s="8">
        <f>IF(E176="","",IF(K176&lt;&gt;"",IF(L176="","Preuve à joindre","Levée"),IF(I176="","À planifier",IF(M176&lt;0,"En retard","En cours"))))</f>
      </c>
    </row>
    <row r="177" spans="1:14" x14ac:dyDescent="0.25">
      <c r="A177" s="5">
        <v>173</v>
      </c>
      <c r="B177" s="6"/>
      <c r="C177" s="5"/>
      <c r="D177" s="5"/>
      <c r="E177" s="7"/>
      <c r="F177" s="5"/>
      <c r="G177" s="7"/>
      <c r="H177" s="5"/>
      <c r="I177" s="6"/>
      <c r="J177" s="5"/>
      <c r="K177" s="6"/>
      <c r="L177" s="7"/>
      <c r="M177" s="8">
        <f>IF(OR(I177="",K177&lt;&gt;""),"",I177-TODAY())</f>
      </c>
      <c r="N177" s="8">
        <f>IF(E177="","",IF(K177&lt;&gt;"",IF(L177="","Preuve à joindre","Levée"),IF(I177="","À planifier",IF(M177&lt;0,"En retard","En cours"))))</f>
      </c>
    </row>
    <row r="178" spans="1:14" x14ac:dyDescent="0.25">
      <c r="A178" s="5">
        <v>174</v>
      </c>
      <c r="B178" s="6"/>
      <c r="C178" s="5"/>
      <c r="D178" s="5"/>
      <c r="E178" s="7"/>
      <c r="F178" s="5"/>
      <c r="G178" s="7"/>
      <c r="H178" s="5"/>
      <c r="I178" s="6"/>
      <c r="J178" s="5"/>
      <c r="K178" s="6"/>
      <c r="L178" s="7"/>
      <c r="M178" s="8">
        <f>IF(OR(I178="",K178&lt;&gt;""),"",I178-TODAY())</f>
      </c>
      <c r="N178" s="8">
        <f>IF(E178="","",IF(K178&lt;&gt;"",IF(L178="","Preuve à joindre","Levée"),IF(I178="","À planifier",IF(M178&lt;0,"En retard","En cours"))))</f>
      </c>
    </row>
    <row r="179" spans="1:14" x14ac:dyDescent="0.25">
      <c r="A179" s="5">
        <v>175</v>
      </c>
      <c r="B179" s="6"/>
      <c r="C179" s="5"/>
      <c r="D179" s="5"/>
      <c r="E179" s="7"/>
      <c r="F179" s="5"/>
      <c r="G179" s="7"/>
      <c r="H179" s="5"/>
      <c r="I179" s="6"/>
      <c r="J179" s="5"/>
      <c r="K179" s="6"/>
      <c r="L179" s="7"/>
      <c r="M179" s="8">
        <f>IF(OR(I179="",K179&lt;&gt;""),"",I179-TODAY())</f>
      </c>
      <c r="N179" s="8">
        <f>IF(E179="","",IF(K179&lt;&gt;"",IF(L179="","Preuve à joindre","Levée"),IF(I179="","À planifier",IF(M179&lt;0,"En retard","En cours"))))</f>
      </c>
    </row>
    <row r="180" spans="1:14" x14ac:dyDescent="0.25">
      <c r="A180" s="5">
        <v>176</v>
      </c>
      <c r="B180" s="6"/>
      <c r="C180" s="5"/>
      <c r="D180" s="5"/>
      <c r="E180" s="7"/>
      <c r="F180" s="5"/>
      <c r="G180" s="7"/>
      <c r="H180" s="5"/>
      <c r="I180" s="6"/>
      <c r="J180" s="5"/>
      <c r="K180" s="6"/>
      <c r="L180" s="7"/>
      <c r="M180" s="8">
        <f>IF(OR(I180="",K180&lt;&gt;""),"",I180-TODAY())</f>
      </c>
      <c r="N180" s="8">
        <f>IF(E180="","",IF(K180&lt;&gt;"",IF(L180="","Preuve à joindre","Levée"),IF(I180="","À planifier",IF(M180&lt;0,"En retard","En cours"))))</f>
      </c>
    </row>
    <row r="181" spans="1:14" x14ac:dyDescent="0.25">
      <c r="A181" s="5">
        <v>177</v>
      </c>
      <c r="B181" s="6"/>
      <c r="C181" s="5"/>
      <c r="D181" s="5"/>
      <c r="E181" s="7"/>
      <c r="F181" s="5"/>
      <c r="G181" s="7"/>
      <c r="H181" s="5"/>
      <c r="I181" s="6"/>
      <c r="J181" s="5"/>
      <c r="K181" s="6"/>
      <c r="L181" s="7"/>
      <c r="M181" s="8">
        <f>IF(OR(I181="",K181&lt;&gt;""),"",I181-TODAY())</f>
      </c>
      <c r="N181" s="8">
        <f>IF(E181="","",IF(K181&lt;&gt;"",IF(L181="","Preuve à joindre","Levée"),IF(I181="","À planifier",IF(M181&lt;0,"En retard","En cours"))))</f>
      </c>
    </row>
    <row r="182" spans="1:14" x14ac:dyDescent="0.25">
      <c r="A182" s="5">
        <v>178</v>
      </c>
      <c r="B182" s="6"/>
      <c r="C182" s="5"/>
      <c r="D182" s="5"/>
      <c r="E182" s="7"/>
      <c r="F182" s="5"/>
      <c r="G182" s="7"/>
      <c r="H182" s="5"/>
      <c r="I182" s="6"/>
      <c r="J182" s="5"/>
      <c r="K182" s="6"/>
      <c r="L182" s="7"/>
      <c r="M182" s="8">
        <f>IF(OR(I182="",K182&lt;&gt;""),"",I182-TODAY())</f>
      </c>
      <c r="N182" s="8">
        <f>IF(E182="","",IF(K182&lt;&gt;"",IF(L182="","Preuve à joindre","Levée"),IF(I182="","À planifier",IF(M182&lt;0,"En retard","En cours"))))</f>
      </c>
    </row>
    <row r="183" spans="1:14" x14ac:dyDescent="0.25">
      <c r="A183" s="5">
        <v>179</v>
      </c>
      <c r="B183" s="6"/>
      <c r="C183" s="5"/>
      <c r="D183" s="5"/>
      <c r="E183" s="7"/>
      <c r="F183" s="5"/>
      <c r="G183" s="7"/>
      <c r="H183" s="5"/>
      <c r="I183" s="6"/>
      <c r="J183" s="5"/>
      <c r="K183" s="6"/>
      <c r="L183" s="7"/>
      <c r="M183" s="8">
        <f>IF(OR(I183="",K183&lt;&gt;""),"",I183-TODAY())</f>
      </c>
      <c r="N183" s="8">
        <f>IF(E183="","",IF(K183&lt;&gt;"",IF(L183="","Preuve à joindre","Levée"),IF(I183="","À planifier",IF(M183&lt;0,"En retard","En cours"))))</f>
      </c>
    </row>
    <row r="184" spans="1:14" x14ac:dyDescent="0.25">
      <c r="A184" s="5">
        <v>180</v>
      </c>
      <c r="B184" s="6"/>
      <c r="C184" s="5"/>
      <c r="D184" s="5"/>
      <c r="E184" s="7"/>
      <c r="F184" s="5"/>
      <c r="G184" s="7"/>
      <c r="H184" s="5"/>
      <c r="I184" s="6"/>
      <c r="J184" s="5"/>
      <c r="K184" s="6"/>
      <c r="L184" s="7"/>
      <c r="M184" s="8">
        <f>IF(OR(I184="",K184&lt;&gt;""),"",I184-TODAY())</f>
      </c>
      <c r="N184" s="8">
        <f>IF(E184="","",IF(K184&lt;&gt;"",IF(L184="","Preuve à joindre","Levée"),IF(I184="","À planifier",IF(M184&lt;0,"En retard","En cours"))))</f>
      </c>
    </row>
    <row r="185" spans="1:14" x14ac:dyDescent="0.25">
      <c r="A185" s="5">
        <v>181</v>
      </c>
      <c r="B185" s="6"/>
      <c r="C185" s="5"/>
      <c r="D185" s="5"/>
      <c r="E185" s="7"/>
      <c r="F185" s="5"/>
      <c r="G185" s="7"/>
      <c r="H185" s="5"/>
      <c r="I185" s="6"/>
      <c r="J185" s="5"/>
      <c r="K185" s="6"/>
      <c r="L185" s="7"/>
      <c r="M185" s="8">
        <f>IF(OR(I185="",K185&lt;&gt;""),"",I185-TODAY())</f>
      </c>
      <c r="N185" s="8">
        <f>IF(E185="","",IF(K185&lt;&gt;"",IF(L185="","Preuve à joindre","Levée"),IF(I185="","À planifier",IF(M185&lt;0,"En retard","En cours"))))</f>
      </c>
    </row>
    <row r="186" spans="1:14" x14ac:dyDescent="0.25">
      <c r="A186" s="5">
        <v>182</v>
      </c>
      <c r="B186" s="6"/>
      <c r="C186" s="5"/>
      <c r="D186" s="5"/>
      <c r="E186" s="7"/>
      <c r="F186" s="5"/>
      <c r="G186" s="7"/>
      <c r="H186" s="5"/>
      <c r="I186" s="6"/>
      <c r="J186" s="5"/>
      <c r="K186" s="6"/>
      <c r="L186" s="7"/>
      <c r="M186" s="8">
        <f>IF(OR(I186="",K186&lt;&gt;""),"",I186-TODAY())</f>
      </c>
      <c r="N186" s="8">
        <f>IF(E186="","",IF(K186&lt;&gt;"",IF(L186="","Preuve à joindre","Levée"),IF(I186="","À planifier",IF(M186&lt;0,"En retard","En cours"))))</f>
      </c>
    </row>
    <row r="187" spans="1:14" x14ac:dyDescent="0.25">
      <c r="A187" s="5">
        <v>183</v>
      </c>
      <c r="B187" s="6"/>
      <c r="C187" s="5"/>
      <c r="D187" s="5"/>
      <c r="E187" s="7"/>
      <c r="F187" s="5"/>
      <c r="G187" s="7"/>
      <c r="H187" s="5"/>
      <c r="I187" s="6"/>
      <c r="J187" s="5"/>
      <c r="K187" s="6"/>
      <c r="L187" s="7"/>
      <c r="M187" s="8">
        <f>IF(OR(I187="",K187&lt;&gt;""),"",I187-TODAY())</f>
      </c>
      <c r="N187" s="8">
        <f>IF(E187="","",IF(K187&lt;&gt;"",IF(L187="","Preuve à joindre","Levée"),IF(I187="","À planifier",IF(M187&lt;0,"En retard","En cours"))))</f>
      </c>
    </row>
    <row r="188" spans="1:14" x14ac:dyDescent="0.25">
      <c r="A188" s="5">
        <v>184</v>
      </c>
      <c r="B188" s="6"/>
      <c r="C188" s="5"/>
      <c r="D188" s="5"/>
      <c r="E188" s="7"/>
      <c r="F188" s="5"/>
      <c r="G188" s="7"/>
      <c r="H188" s="5"/>
      <c r="I188" s="6"/>
      <c r="J188" s="5"/>
      <c r="K188" s="6"/>
      <c r="L188" s="7"/>
      <c r="M188" s="8">
        <f>IF(OR(I188="",K188&lt;&gt;""),"",I188-TODAY())</f>
      </c>
      <c r="N188" s="8">
        <f>IF(E188="","",IF(K188&lt;&gt;"",IF(L188="","Preuve à joindre","Levée"),IF(I188="","À planifier",IF(M188&lt;0,"En retard","En cours"))))</f>
      </c>
    </row>
    <row r="189" spans="1:14" x14ac:dyDescent="0.25">
      <c r="A189" s="5">
        <v>185</v>
      </c>
      <c r="B189" s="6"/>
      <c r="C189" s="5"/>
      <c r="D189" s="5"/>
      <c r="E189" s="7"/>
      <c r="F189" s="5"/>
      <c r="G189" s="7"/>
      <c r="H189" s="5"/>
      <c r="I189" s="6"/>
      <c r="J189" s="5"/>
      <c r="K189" s="6"/>
      <c r="L189" s="7"/>
      <c r="M189" s="8">
        <f>IF(OR(I189="",K189&lt;&gt;""),"",I189-TODAY())</f>
      </c>
      <c r="N189" s="8">
        <f>IF(E189="","",IF(K189&lt;&gt;"",IF(L189="","Preuve à joindre","Levée"),IF(I189="","À planifier",IF(M189&lt;0,"En retard","En cours"))))</f>
      </c>
    </row>
    <row r="190" spans="1:14" x14ac:dyDescent="0.25">
      <c r="A190" s="5">
        <v>186</v>
      </c>
      <c r="B190" s="6"/>
      <c r="C190" s="5"/>
      <c r="D190" s="5"/>
      <c r="E190" s="7"/>
      <c r="F190" s="5"/>
      <c r="G190" s="7"/>
      <c r="H190" s="5"/>
      <c r="I190" s="6"/>
      <c r="J190" s="5"/>
      <c r="K190" s="6"/>
      <c r="L190" s="7"/>
      <c r="M190" s="8">
        <f>IF(OR(I190="",K190&lt;&gt;""),"",I190-TODAY())</f>
      </c>
      <c r="N190" s="8">
        <f>IF(E190="","",IF(K190&lt;&gt;"",IF(L190="","Preuve à joindre","Levée"),IF(I190="","À planifier",IF(M190&lt;0,"En retard","En cours"))))</f>
      </c>
    </row>
    <row r="191" spans="1:14" x14ac:dyDescent="0.25">
      <c r="A191" s="5">
        <v>187</v>
      </c>
      <c r="B191" s="6"/>
      <c r="C191" s="5"/>
      <c r="D191" s="5"/>
      <c r="E191" s="7"/>
      <c r="F191" s="5"/>
      <c r="G191" s="7"/>
      <c r="H191" s="5"/>
      <c r="I191" s="6"/>
      <c r="J191" s="5"/>
      <c r="K191" s="6"/>
      <c r="L191" s="7"/>
      <c r="M191" s="8">
        <f>IF(OR(I191="",K191&lt;&gt;""),"",I191-TODAY())</f>
      </c>
      <c r="N191" s="8">
        <f>IF(E191="","",IF(K191&lt;&gt;"",IF(L191="","Preuve à joindre","Levée"),IF(I191="","À planifier",IF(M191&lt;0,"En retard","En cours"))))</f>
      </c>
    </row>
    <row r="192" spans="1:14" x14ac:dyDescent="0.25">
      <c r="A192" s="5">
        <v>188</v>
      </c>
      <c r="B192" s="6"/>
      <c r="C192" s="5"/>
      <c r="D192" s="5"/>
      <c r="E192" s="7"/>
      <c r="F192" s="5"/>
      <c r="G192" s="7"/>
      <c r="H192" s="5"/>
      <c r="I192" s="6"/>
      <c r="J192" s="5"/>
      <c r="K192" s="6"/>
      <c r="L192" s="7"/>
      <c r="M192" s="8">
        <f>IF(OR(I192="",K192&lt;&gt;""),"",I192-TODAY())</f>
      </c>
      <c r="N192" s="8">
        <f>IF(E192="","",IF(K192&lt;&gt;"",IF(L192="","Preuve à joindre","Levée"),IF(I192="","À planifier",IF(M192&lt;0,"En retard","En cours"))))</f>
      </c>
    </row>
    <row r="193" spans="1:14" x14ac:dyDescent="0.25">
      <c r="A193" s="5">
        <v>189</v>
      </c>
      <c r="B193" s="6"/>
      <c r="C193" s="5"/>
      <c r="D193" s="5"/>
      <c r="E193" s="7"/>
      <c r="F193" s="5"/>
      <c r="G193" s="7"/>
      <c r="H193" s="5"/>
      <c r="I193" s="6"/>
      <c r="J193" s="5"/>
      <c r="K193" s="6"/>
      <c r="L193" s="7"/>
      <c r="M193" s="8">
        <f>IF(OR(I193="",K193&lt;&gt;""),"",I193-TODAY())</f>
      </c>
      <c r="N193" s="8">
        <f>IF(E193="","",IF(K193&lt;&gt;"",IF(L193="","Preuve à joindre","Levée"),IF(I193="","À planifier",IF(M193&lt;0,"En retard","En cours"))))</f>
      </c>
    </row>
    <row r="194" spans="1:14" x14ac:dyDescent="0.25">
      <c r="A194" s="5">
        <v>190</v>
      </c>
      <c r="B194" s="6"/>
      <c r="C194" s="5"/>
      <c r="D194" s="5"/>
      <c r="E194" s="7"/>
      <c r="F194" s="5"/>
      <c r="G194" s="7"/>
      <c r="H194" s="5"/>
      <c r="I194" s="6"/>
      <c r="J194" s="5"/>
      <c r="K194" s="6"/>
      <c r="L194" s="7"/>
      <c r="M194" s="8">
        <f>IF(OR(I194="",K194&lt;&gt;""),"",I194-TODAY())</f>
      </c>
      <c r="N194" s="8">
        <f>IF(E194="","",IF(K194&lt;&gt;"",IF(L194="","Preuve à joindre","Levée"),IF(I194="","À planifier",IF(M194&lt;0,"En retard","En cours"))))</f>
      </c>
    </row>
    <row r="195" spans="1:14" x14ac:dyDescent="0.25">
      <c r="A195" s="5">
        <v>191</v>
      </c>
      <c r="B195" s="6"/>
      <c r="C195" s="5"/>
      <c r="D195" s="5"/>
      <c r="E195" s="7"/>
      <c r="F195" s="5"/>
      <c r="G195" s="7"/>
      <c r="H195" s="5"/>
      <c r="I195" s="6"/>
      <c r="J195" s="5"/>
      <c r="K195" s="6"/>
      <c r="L195" s="7"/>
      <c r="M195" s="8">
        <f>IF(OR(I195="",K195&lt;&gt;""),"",I195-TODAY())</f>
      </c>
      <c r="N195" s="8">
        <f>IF(E195="","",IF(K195&lt;&gt;"",IF(L195="","Preuve à joindre","Levée"),IF(I195="","À planifier",IF(M195&lt;0,"En retard","En cours"))))</f>
      </c>
    </row>
    <row r="196" spans="1:14" x14ac:dyDescent="0.25">
      <c r="A196" s="5">
        <v>192</v>
      </c>
      <c r="B196" s="6"/>
      <c r="C196" s="5"/>
      <c r="D196" s="5"/>
      <c r="E196" s="7"/>
      <c r="F196" s="5"/>
      <c r="G196" s="7"/>
      <c r="H196" s="5"/>
      <c r="I196" s="6"/>
      <c r="J196" s="5"/>
      <c r="K196" s="6"/>
      <c r="L196" s="7"/>
      <c r="M196" s="8">
        <f>IF(OR(I196="",K196&lt;&gt;""),"",I196-TODAY())</f>
      </c>
      <c r="N196" s="8">
        <f>IF(E196="","",IF(K196&lt;&gt;"",IF(L196="","Preuve à joindre","Levée"),IF(I196="","À planifier",IF(M196&lt;0,"En retard","En cours"))))</f>
      </c>
    </row>
    <row r="197" spans="1:14" x14ac:dyDescent="0.25">
      <c r="A197" s="5">
        <v>193</v>
      </c>
      <c r="B197" s="6"/>
      <c r="C197" s="5"/>
      <c r="D197" s="5"/>
      <c r="E197" s="7"/>
      <c r="F197" s="5"/>
      <c r="G197" s="7"/>
      <c r="H197" s="5"/>
      <c r="I197" s="6"/>
      <c r="J197" s="5"/>
      <c r="K197" s="6"/>
      <c r="L197" s="7"/>
      <c r="M197" s="8">
        <f>IF(OR(I197="",K197&lt;&gt;""),"",I197-TODAY())</f>
      </c>
      <c r="N197" s="8">
        <f>IF(E197="","",IF(K197&lt;&gt;"",IF(L197="","Preuve à joindre","Levée"),IF(I197="","À planifier",IF(M197&lt;0,"En retard","En cours"))))</f>
      </c>
    </row>
    <row r="198" spans="1:14" x14ac:dyDescent="0.25">
      <c r="A198" s="5">
        <v>194</v>
      </c>
      <c r="B198" s="6"/>
      <c r="C198" s="5"/>
      <c r="D198" s="5"/>
      <c r="E198" s="7"/>
      <c r="F198" s="5"/>
      <c r="G198" s="7"/>
      <c r="H198" s="5"/>
      <c r="I198" s="6"/>
      <c r="J198" s="5"/>
      <c r="K198" s="6"/>
      <c r="L198" s="7"/>
      <c r="M198" s="8">
        <f>IF(OR(I198="",K198&lt;&gt;""),"",I198-TODAY())</f>
      </c>
      <c r="N198" s="8">
        <f>IF(E198="","",IF(K198&lt;&gt;"",IF(L198="","Preuve à joindre","Levée"),IF(I198="","À planifier",IF(M198&lt;0,"En retard","En cours"))))</f>
      </c>
    </row>
    <row r="199" spans="1:14" x14ac:dyDescent="0.25">
      <c r="A199" s="5">
        <v>195</v>
      </c>
      <c r="B199" s="6"/>
      <c r="C199" s="5"/>
      <c r="D199" s="5"/>
      <c r="E199" s="7"/>
      <c r="F199" s="5"/>
      <c r="G199" s="7"/>
      <c r="H199" s="5"/>
      <c r="I199" s="6"/>
      <c r="J199" s="5"/>
      <c r="K199" s="6"/>
      <c r="L199" s="7"/>
      <c r="M199" s="8">
        <f>IF(OR(I199="",K199&lt;&gt;""),"",I199-TODAY())</f>
      </c>
      <c r="N199" s="8">
        <f>IF(E199="","",IF(K199&lt;&gt;"",IF(L199="","Preuve à joindre","Levée"),IF(I199="","À planifier",IF(M199&lt;0,"En retard","En cours"))))</f>
      </c>
    </row>
    <row r="200" spans="1:14" x14ac:dyDescent="0.25">
      <c r="A200" s="5">
        <v>196</v>
      </c>
      <c r="B200" s="6"/>
      <c r="C200" s="5"/>
      <c r="D200" s="5"/>
      <c r="E200" s="7"/>
      <c r="F200" s="5"/>
      <c r="G200" s="7"/>
      <c r="H200" s="5"/>
      <c r="I200" s="6"/>
      <c r="J200" s="5"/>
      <c r="K200" s="6"/>
      <c r="L200" s="7"/>
      <c r="M200" s="8">
        <f>IF(OR(I200="",K200&lt;&gt;""),"",I200-TODAY())</f>
      </c>
      <c r="N200" s="8">
        <f>IF(E200="","",IF(K200&lt;&gt;"",IF(L200="","Preuve à joindre","Levée"),IF(I200="","À planifier",IF(M200&lt;0,"En retard","En cours"))))</f>
      </c>
    </row>
    <row r="201" spans="1:14" x14ac:dyDescent="0.25">
      <c r="A201" s="5">
        <v>197</v>
      </c>
      <c r="B201" s="6"/>
      <c r="C201" s="5"/>
      <c r="D201" s="5"/>
      <c r="E201" s="7"/>
      <c r="F201" s="5"/>
      <c r="G201" s="7"/>
      <c r="H201" s="5"/>
      <c r="I201" s="6"/>
      <c r="J201" s="5"/>
      <c r="K201" s="6"/>
      <c r="L201" s="7"/>
      <c r="M201" s="8">
        <f>IF(OR(I201="",K201&lt;&gt;""),"",I201-TODAY())</f>
      </c>
      <c r="N201" s="8">
        <f>IF(E201="","",IF(K201&lt;&gt;"",IF(L201="","Preuve à joindre","Levée"),IF(I201="","À planifier",IF(M201&lt;0,"En retard","En cours"))))</f>
      </c>
    </row>
    <row r="202" spans="1:14" x14ac:dyDescent="0.25">
      <c r="A202" s="5">
        <v>198</v>
      </c>
      <c r="B202" s="6"/>
      <c r="C202" s="5"/>
      <c r="D202" s="5"/>
      <c r="E202" s="7"/>
      <c r="F202" s="5"/>
      <c r="G202" s="7"/>
      <c r="H202" s="5"/>
      <c r="I202" s="6"/>
      <c r="J202" s="5"/>
      <c r="K202" s="6"/>
      <c r="L202" s="7"/>
      <c r="M202" s="8">
        <f>IF(OR(I202="",K202&lt;&gt;""),"",I202-TODAY())</f>
      </c>
      <c r="N202" s="8">
        <f>IF(E202="","",IF(K202&lt;&gt;"",IF(L202="","Preuve à joindre","Levée"),IF(I202="","À planifier",IF(M202&lt;0,"En retard","En cours"))))</f>
      </c>
    </row>
    <row r="203" spans="1:14" x14ac:dyDescent="0.25">
      <c r="A203" s="5">
        <v>199</v>
      </c>
      <c r="B203" s="6"/>
      <c r="C203" s="5"/>
      <c r="D203" s="5"/>
      <c r="E203" s="7"/>
      <c r="F203" s="5"/>
      <c r="G203" s="7"/>
      <c r="H203" s="5"/>
      <c r="I203" s="6"/>
      <c r="J203" s="5"/>
      <c r="K203" s="6"/>
      <c r="L203" s="7"/>
      <c r="M203" s="8">
        <f>IF(OR(I203="",K203&lt;&gt;""),"",I203-TODAY())</f>
      </c>
      <c r="N203" s="8">
        <f>IF(E203="","",IF(K203&lt;&gt;"",IF(L203="","Preuve à joindre","Levée"),IF(I203="","À planifier",IF(M203&lt;0,"En retard","En cours"))))</f>
      </c>
    </row>
    <row r="204" spans="1:14" x14ac:dyDescent="0.25">
      <c r="A204" s="5">
        <v>200</v>
      </c>
      <c r="B204" s="6"/>
      <c r="C204" s="5"/>
      <c r="D204" s="5"/>
      <c r="E204" s="7"/>
      <c r="F204" s="5"/>
      <c r="G204" s="7"/>
      <c r="H204" s="5"/>
      <c r="I204" s="6"/>
      <c r="J204" s="5"/>
      <c r="K204" s="6"/>
      <c r="L204" s="7"/>
      <c r="M204" s="8">
        <f>IF(OR(I204="",K204&lt;&gt;""),"",I204-TODAY())</f>
      </c>
      <c r="N204" s="8">
        <f>IF(E204="","",IF(K204&lt;&gt;"",IF(L204="","Preuve à joindre","Levée"),IF(I204="","À planifier",IF(M204&lt;0,"En retard","En cours"))))</f>
      </c>
    </row>
    <row r="205" spans="1:14" x14ac:dyDescent="0.25">
      <c r="A205" s="5">
        <v>201</v>
      </c>
      <c r="B205" s="6"/>
      <c r="C205" s="5"/>
      <c r="D205" s="5"/>
      <c r="E205" s="7"/>
      <c r="F205" s="5"/>
      <c r="G205" s="7"/>
      <c r="H205" s="5"/>
      <c r="I205" s="6"/>
      <c r="J205" s="5"/>
      <c r="K205" s="6"/>
      <c r="L205" s="7"/>
      <c r="M205" s="8">
        <f>IF(OR(I205="",K205&lt;&gt;""),"",I205-TODAY())</f>
      </c>
      <c r="N205" s="8">
        <f>IF(E205="","",IF(K205&lt;&gt;"",IF(L205="","Preuve à joindre","Levée"),IF(I205="","À planifier",IF(M205&lt;0,"En retard","En cours"))))</f>
      </c>
    </row>
    <row r="206" spans="1:14" x14ac:dyDescent="0.25">
      <c r="A206" s="5">
        <v>202</v>
      </c>
      <c r="B206" s="6"/>
      <c r="C206" s="5"/>
      <c r="D206" s="5"/>
      <c r="E206" s="7"/>
      <c r="F206" s="5"/>
      <c r="G206" s="7"/>
      <c r="H206" s="5"/>
      <c r="I206" s="6"/>
      <c r="J206" s="5"/>
      <c r="K206" s="6"/>
      <c r="L206" s="7"/>
      <c r="M206" s="8">
        <f>IF(OR(I206="",K206&lt;&gt;""),"",I206-TODAY())</f>
      </c>
      <c r="N206" s="8">
        <f>IF(E206="","",IF(K206&lt;&gt;"",IF(L206="","Preuve à joindre","Levée"),IF(I206="","À planifier",IF(M206&lt;0,"En retard","En cours"))))</f>
      </c>
    </row>
    <row r="207" spans="1:14" x14ac:dyDescent="0.25">
      <c r="A207" s="5">
        <v>203</v>
      </c>
      <c r="B207" s="6"/>
      <c r="C207" s="5"/>
      <c r="D207" s="5"/>
      <c r="E207" s="7"/>
      <c r="F207" s="5"/>
      <c r="G207" s="7"/>
      <c r="H207" s="5"/>
      <c r="I207" s="6"/>
      <c r="J207" s="5"/>
      <c r="K207" s="6"/>
      <c r="L207" s="7"/>
      <c r="M207" s="8">
        <f>IF(OR(I207="",K207&lt;&gt;""),"",I207-TODAY())</f>
      </c>
      <c r="N207" s="8">
        <f>IF(E207="","",IF(K207&lt;&gt;"",IF(L207="","Preuve à joindre","Levée"),IF(I207="","À planifier",IF(M207&lt;0,"En retard","En cours"))))</f>
      </c>
    </row>
    <row r="208" spans="1:14" x14ac:dyDescent="0.25">
      <c r="A208" s="5">
        <v>204</v>
      </c>
      <c r="B208" s="6"/>
      <c r="C208" s="5"/>
      <c r="D208" s="5"/>
      <c r="E208" s="7"/>
      <c r="F208" s="5"/>
      <c r="G208" s="7"/>
      <c r="H208" s="5"/>
      <c r="I208" s="6"/>
      <c r="J208" s="5"/>
      <c r="K208" s="6"/>
      <c r="L208" s="7"/>
      <c r="M208" s="8">
        <f>IF(OR(I208="",K208&lt;&gt;""),"",I208-TODAY())</f>
      </c>
      <c r="N208" s="8">
        <f>IF(E208="","",IF(K208&lt;&gt;"",IF(L208="","Preuve à joindre","Levée"),IF(I208="","À planifier",IF(M208&lt;0,"En retard","En cours"))))</f>
      </c>
    </row>
    <row r="209" spans="1:14" x14ac:dyDescent="0.25">
      <c r="A209" s="5">
        <v>205</v>
      </c>
      <c r="B209" s="6"/>
      <c r="C209" s="5"/>
      <c r="D209" s="5"/>
      <c r="E209" s="7"/>
      <c r="F209" s="5"/>
      <c r="G209" s="7"/>
      <c r="H209" s="5"/>
      <c r="I209" s="6"/>
      <c r="J209" s="5"/>
      <c r="K209" s="6"/>
      <c r="L209" s="7"/>
      <c r="M209" s="8">
        <f>IF(OR(I209="",K209&lt;&gt;""),"",I209-TODAY())</f>
      </c>
      <c r="N209" s="8">
        <f>IF(E209="","",IF(K209&lt;&gt;"",IF(L209="","Preuve à joindre","Levée"),IF(I209="","À planifier",IF(M209&lt;0,"En retard","En cours"))))</f>
      </c>
    </row>
    <row r="210" spans="1:14" x14ac:dyDescent="0.25">
      <c r="A210" s="5">
        <v>206</v>
      </c>
      <c r="B210" s="6"/>
      <c r="C210" s="5"/>
      <c r="D210" s="5"/>
      <c r="E210" s="7"/>
      <c r="F210" s="5"/>
      <c r="G210" s="7"/>
      <c r="H210" s="5"/>
      <c r="I210" s="6"/>
      <c r="J210" s="5"/>
      <c r="K210" s="6"/>
      <c r="L210" s="7"/>
      <c r="M210" s="8">
        <f>IF(OR(I210="",K210&lt;&gt;""),"",I210-TODAY())</f>
      </c>
      <c r="N210" s="8">
        <f>IF(E210="","",IF(K210&lt;&gt;"",IF(L210="","Preuve à joindre","Levée"),IF(I210="","À planifier",IF(M210&lt;0,"En retard","En cours"))))</f>
      </c>
    </row>
    <row r="211" spans="1:14" x14ac:dyDescent="0.25">
      <c r="A211" s="5">
        <v>207</v>
      </c>
      <c r="B211" s="6"/>
      <c r="C211" s="5"/>
      <c r="D211" s="5"/>
      <c r="E211" s="7"/>
      <c r="F211" s="5"/>
      <c r="G211" s="7"/>
      <c r="H211" s="5"/>
      <c r="I211" s="6"/>
      <c r="J211" s="5"/>
      <c r="K211" s="6"/>
      <c r="L211" s="7"/>
      <c r="M211" s="8">
        <f>IF(OR(I211="",K211&lt;&gt;""),"",I211-TODAY())</f>
      </c>
      <c r="N211" s="8">
        <f>IF(E211="","",IF(K211&lt;&gt;"",IF(L211="","Preuve à joindre","Levée"),IF(I211="","À planifier",IF(M211&lt;0,"En retard","En cours"))))</f>
      </c>
    </row>
    <row r="212" spans="1:14" x14ac:dyDescent="0.25">
      <c r="A212" s="5">
        <v>208</v>
      </c>
      <c r="B212" s="6"/>
      <c r="C212" s="5"/>
      <c r="D212" s="5"/>
      <c r="E212" s="7"/>
      <c r="F212" s="5"/>
      <c r="G212" s="7"/>
      <c r="H212" s="5"/>
      <c r="I212" s="6"/>
      <c r="J212" s="5"/>
      <c r="K212" s="6"/>
      <c r="L212" s="7"/>
      <c r="M212" s="8">
        <f>IF(OR(I212="",K212&lt;&gt;""),"",I212-TODAY())</f>
      </c>
      <c r="N212" s="8">
        <f>IF(E212="","",IF(K212&lt;&gt;"",IF(L212="","Preuve à joindre","Levée"),IF(I212="","À planifier",IF(M212&lt;0,"En retard","En cours"))))</f>
      </c>
    </row>
    <row r="213" spans="1:14" x14ac:dyDescent="0.25">
      <c r="A213" s="5">
        <v>209</v>
      </c>
      <c r="B213" s="6"/>
      <c r="C213" s="5"/>
      <c r="D213" s="5"/>
      <c r="E213" s="7"/>
      <c r="F213" s="5"/>
      <c r="G213" s="7"/>
      <c r="H213" s="5"/>
      <c r="I213" s="6"/>
      <c r="J213" s="5"/>
      <c r="K213" s="6"/>
      <c r="L213" s="7"/>
      <c r="M213" s="8">
        <f>IF(OR(I213="",K213&lt;&gt;""),"",I213-TODAY())</f>
      </c>
      <c r="N213" s="8">
        <f>IF(E213="","",IF(K213&lt;&gt;"",IF(L213="","Preuve à joindre","Levée"),IF(I213="","À planifier",IF(M213&lt;0,"En retard","En cours"))))</f>
      </c>
    </row>
    <row r="214" spans="1:14" x14ac:dyDescent="0.25">
      <c r="A214" s="5">
        <v>210</v>
      </c>
      <c r="B214" s="6"/>
      <c r="C214" s="5"/>
      <c r="D214" s="5"/>
      <c r="E214" s="7"/>
      <c r="F214" s="5"/>
      <c r="G214" s="7"/>
      <c r="H214" s="5"/>
      <c r="I214" s="6"/>
      <c r="J214" s="5"/>
      <c r="K214" s="6"/>
      <c r="L214" s="7"/>
      <c r="M214" s="8">
        <f>IF(OR(I214="",K214&lt;&gt;""),"",I214-TODAY())</f>
      </c>
      <c r="N214" s="8">
        <f>IF(E214="","",IF(K214&lt;&gt;"",IF(L214="","Preuve à joindre","Levée"),IF(I214="","À planifier",IF(M214&lt;0,"En retard","En cours"))))</f>
      </c>
    </row>
    <row r="215" spans="1:14" x14ac:dyDescent="0.25">
      <c r="A215" s="5">
        <v>211</v>
      </c>
      <c r="B215" s="6"/>
      <c r="C215" s="5"/>
      <c r="D215" s="5"/>
      <c r="E215" s="7"/>
      <c r="F215" s="5"/>
      <c r="G215" s="7"/>
      <c r="H215" s="5"/>
      <c r="I215" s="6"/>
      <c r="J215" s="5"/>
      <c r="K215" s="6"/>
      <c r="L215" s="7"/>
      <c r="M215" s="8">
        <f>IF(OR(I215="",K215&lt;&gt;""),"",I215-TODAY())</f>
      </c>
      <c r="N215" s="8">
        <f>IF(E215="","",IF(K215&lt;&gt;"",IF(L215="","Preuve à joindre","Levée"),IF(I215="","À planifier",IF(M215&lt;0,"En retard","En cours"))))</f>
      </c>
    </row>
    <row r="216" spans="1:14" x14ac:dyDescent="0.25">
      <c r="A216" s="5">
        <v>212</v>
      </c>
      <c r="B216" s="6"/>
      <c r="C216" s="5"/>
      <c r="D216" s="5"/>
      <c r="E216" s="7"/>
      <c r="F216" s="5"/>
      <c r="G216" s="7"/>
      <c r="H216" s="5"/>
      <c r="I216" s="6"/>
      <c r="J216" s="5"/>
      <c r="K216" s="6"/>
      <c r="L216" s="7"/>
      <c r="M216" s="8">
        <f>IF(OR(I216="",K216&lt;&gt;""),"",I216-TODAY())</f>
      </c>
      <c r="N216" s="8">
        <f>IF(E216="","",IF(K216&lt;&gt;"",IF(L216="","Preuve à joindre","Levée"),IF(I216="","À planifier",IF(M216&lt;0,"En retard","En cours"))))</f>
      </c>
    </row>
    <row r="217" spans="1:14" x14ac:dyDescent="0.25">
      <c r="A217" s="5">
        <v>213</v>
      </c>
      <c r="B217" s="6"/>
      <c r="C217" s="5"/>
      <c r="D217" s="5"/>
      <c r="E217" s="7"/>
      <c r="F217" s="5"/>
      <c r="G217" s="7"/>
      <c r="H217" s="5"/>
      <c r="I217" s="6"/>
      <c r="J217" s="5"/>
      <c r="K217" s="6"/>
      <c r="L217" s="7"/>
      <c r="M217" s="8">
        <f>IF(OR(I217="",K217&lt;&gt;""),"",I217-TODAY())</f>
      </c>
      <c r="N217" s="8">
        <f>IF(E217="","",IF(K217&lt;&gt;"",IF(L217="","Preuve à joindre","Levée"),IF(I217="","À planifier",IF(M217&lt;0,"En retard","En cours"))))</f>
      </c>
    </row>
    <row r="218" spans="1:14" x14ac:dyDescent="0.25">
      <c r="A218" s="5">
        <v>214</v>
      </c>
      <c r="B218" s="6"/>
      <c r="C218" s="5"/>
      <c r="D218" s="5"/>
      <c r="E218" s="7"/>
      <c r="F218" s="5"/>
      <c r="G218" s="7"/>
      <c r="H218" s="5"/>
      <c r="I218" s="6"/>
      <c r="J218" s="5"/>
      <c r="K218" s="6"/>
      <c r="L218" s="7"/>
      <c r="M218" s="8">
        <f>IF(OR(I218="",K218&lt;&gt;""),"",I218-TODAY())</f>
      </c>
      <c r="N218" s="8">
        <f>IF(E218="","",IF(K218&lt;&gt;"",IF(L218="","Preuve à joindre","Levée"),IF(I218="","À planifier",IF(M218&lt;0,"En retard","En cours"))))</f>
      </c>
    </row>
    <row r="219" spans="1:14" x14ac:dyDescent="0.25">
      <c r="A219" s="5">
        <v>215</v>
      </c>
      <c r="B219" s="6"/>
      <c r="C219" s="5"/>
      <c r="D219" s="5"/>
      <c r="E219" s="7"/>
      <c r="F219" s="5"/>
      <c r="G219" s="7"/>
      <c r="H219" s="5"/>
      <c r="I219" s="6"/>
      <c r="J219" s="5"/>
      <c r="K219" s="6"/>
      <c r="L219" s="7"/>
      <c r="M219" s="8">
        <f>IF(OR(I219="",K219&lt;&gt;""),"",I219-TODAY())</f>
      </c>
      <c r="N219" s="8">
        <f>IF(E219="","",IF(K219&lt;&gt;"",IF(L219="","Preuve à joindre","Levée"),IF(I219="","À planifier",IF(M219&lt;0,"En retard","En cours"))))</f>
      </c>
    </row>
    <row r="220" spans="1:14" x14ac:dyDescent="0.25">
      <c r="A220" s="5">
        <v>216</v>
      </c>
      <c r="B220" s="6"/>
      <c r="C220" s="5"/>
      <c r="D220" s="5"/>
      <c r="E220" s="7"/>
      <c r="F220" s="5"/>
      <c r="G220" s="7"/>
      <c r="H220" s="5"/>
      <c r="I220" s="6"/>
      <c r="J220" s="5"/>
      <c r="K220" s="6"/>
      <c r="L220" s="7"/>
      <c r="M220" s="8">
        <f>IF(OR(I220="",K220&lt;&gt;""),"",I220-TODAY())</f>
      </c>
      <c r="N220" s="8">
        <f>IF(E220="","",IF(K220&lt;&gt;"",IF(L220="","Preuve à joindre","Levée"),IF(I220="","À planifier",IF(M220&lt;0,"En retard","En cours"))))</f>
      </c>
    </row>
    <row r="221" spans="1:14" x14ac:dyDescent="0.25">
      <c r="A221" s="5">
        <v>217</v>
      </c>
      <c r="B221" s="6"/>
      <c r="C221" s="5"/>
      <c r="D221" s="5"/>
      <c r="E221" s="7"/>
      <c r="F221" s="5"/>
      <c r="G221" s="7"/>
      <c r="H221" s="5"/>
      <c r="I221" s="6"/>
      <c r="J221" s="5"/>
      <c r="K221" s="6"/>
      <c r="L221" s="7"/>
      <c r="M221" s="8">
        <f>IF(OR(I221="",K221&lt;&gt;""),"",I221-TODAY())</f>
      </c>
      <c r="N221" s="8">
        <f>IF(E221="","",IF(K221&lt;&gt;"",IF(L221="","Preuve à joindre","Levée"),IF(I221="","À planifier",IF(M221&lt;0,"En retard","En cours"))))</f>
      </c>
    </row>
    <row r="222" spans="1:14" x14ac:dyDescent="0.25">
      <c r="A222" s="5">
        <v>218</v>
      </c>
      <c r="B222" s="6"/>
      <c r="C222" s="5"/>
      <c r="D222" s="5"/>
      <c r="E222" s="7"/>
      <c r="F222" s="5"/>
      <c r="G222" s="7"/>
      <c r="H222" s="5"/>
      <c r="I222" s="6"/>
      <c r="J222" s="5"/>
      <c r="K222" s="6"/>
      <c r="L222" s="7"/>
      <c r="M222" s="8">
        <f>IF(OR(I222="",K222&lt;&gt;""),"",I222-TODAY())</f>
      </c>
      <c r="N222" s="8">
        <f>IF(E222="","",IF(K222&lt;&gt;"",IF(L222="","Preuve à joindre","Levée"),IF(I222="","À planifier",IF(M222&lt;0,"En retard","En cours"))))</f>
      </c>
    </row>
    <row r="223" spans="1:14" x14ac:dyDescent="0.25">
      <c r="A223" s="5">
        <v>219</v>
      </c>
      <c r="B223" s="6"/>
      <c r="C223" s="5"/>
      <c r="D223" s="5"/>
      <c r="E223" s="7"/>
      <c r="F223" s="5"/>
      <c r="G223" s="7"/>
      <c r="H223" s="5"/>
      <c r="I223" s="6"/>
      <c r="J223" s="5"/>
      <c r="K223" s="6"/>
      <c r="L223" s="7"/>
      <c r="M223" s="8">
        <f>IF(OR(I223="",K223&lt;&gt;""),"",I223-TODAY())</f>
      </c>
      <c r="N223" s="8">
        <f>IF(E223="","",IF(K223&lt;&gt;"",IF(L223="","Preuve à joindre","Levée"),IF(I223="","À planifier",IF(M223&lt;0,"En retard","En cours"))))</f>
      </c>
    </row>
    <row r="224" spans="1:14" x14ac:dyDescent="0.25">
      <c r="A224" s="5">
        <v>220</v>
      </c>
      <c r="B224" s="6"/>
      <c r="C224" s="5"/>
      <c r="D224" s="5"/>
      <c r="E224" s="7"/>
      <c r="F224" s="5"/>
      <c r="G224" s="7"/>
      <c r="H224" s="5"/>
      <c r="I224" s="6"/>
      <c r="J224" s="5"/>
      <c r="K224" s="6"/>
      <c r="L224" s="7"/>
      <c r="M224" s="8">
        <f>IF(OR(I224="",K224&lt;&gt;""),"",I224-TODAY())</f>
      </c>
      <c r="N224" s="8">
        <f>IF(E224="","",IF(K224&lt;&gt;"",IF(L224="","Preuve à joindre","Levée"),IF(I224="","À planifier",IF(M224&lt;0,"En retard","En cours"))))</f>
      </c>
    </row>
    <row r="225" spans="1:14" x14ac:dyDescent="0.25">
      <c r="A225" s="5">
        <v>221</v>
      </c>
      <c r="B225" s="6"/>
      <c r="C225" s="5"/>
      <c r="D225" s="5"/>
      <c r="E225" s="7"/>
      <c r="F225" s="5"/>
      <c r="G225" s="7"/>
      <c r="H225" s="5"/>
      <c r="I225" s="6"/>
      <c r="J225" s="5"/>
      <c r="K225" s="6"/>
      <c r="L225" s="7"/>
      <c r="M225" s="8">
        <f>IF(OR(I225="",K225&lt;&gt;""),"",I225-TODAY())</f>
      </c>
      <c r="N225" s="8">
        <f>IF(E225="","",IF(K225&lt;&gt;"",IF(L225="","Preuve à joindre","Levée"),IF(I225="","À planifier",IF(M225&lt;0,"En retard","En cours"))))</f>
      </c>
    </row>
    <row r="226" spans="1:14" x14ac:dyDescent="0.25">
      <c r="A226" s="5">
        <v>222</v>
      </c>
      <c r="B226" s="6"/>
      <c r="C226" s="5"/>
      <c r="D226" s="5"/>
      <c r="E226" s="7"/>
      <c r="F226" s="5"/>
      <c r="G226" s="7"/>
      <c r="H226" s="5"/>
      <c r="I226" s="6"/>
      <c r="J226" s="5"/>
      <c r="K226" s="6"/>
      <c r="L226" s="7"/>
      <c r="M226" s="8">
        <f>IF(OR(I226="",K226&lt;&gt;""),"",I226-TODAY())</f>
      </c>
      <c r="N226" s="8">
        <f>IF(E226="","",IF(K226&lt;&gt;"",IF(L226="","Preuve à joindre","Levée"),IF(I226="","À planifier",IF(M226&lt;0,"En retard","En cours"))))</f>
      </c>
    </row>
    <row r="227" spans="1:14" x14ac:dyDescent="0.25">
      <c r="A227" s="5">
        <v>223</v>
      </c>
      <c r="B227" s="6"/>
      <c r="C227" s="5"/>
      <c r="D227" s="5"/>
      <c r="E227" s="7"/>
      <c r="F227" s="5"/>
      <c r="G227" s="7"/>
      <c r="H227" s="5"/>
      <c r="I227" s="6"/>
      <c r="J227" s="5"/>
      <c r="K227" s="6"/>
      <c r="L227" s="7"/>
      <c r="M227" s="8">
        <f>IF(OR(I227="",K227&lt;&gt;""),"",I227-TODAY())</f>
      </c>
      <c r="N227" s="8">
        <f>IF(E227="","",IF(K227&lt;&gt;"",IF(L227="","Preuve à joindre","Levée"),IF(I227="","À planifier",IF(M227&lt;0,"En retard","En cours"))))</f>
      </c>
    </row>
    <row r="228" spans="1:14" x14ac:dyDescent="0.25">
      <c r="A228" s="5">
        <v>224</v>
      </c>
      <c r="B228" s="6"/>
      <c r="C228" s="5"/>
      <c r="D228" s="5"/>
      <c r="E228" s="7"/>
      <c r="F228" s="5"/>
      <c r="G228" s="7"/>
      <c r="H228" s="5"/>
      <c r="I228" s="6"/>
      <c r="J228" s="5"/>
      <c r="K228" s="6"/>
      <c r="L228" s="7"/>
      <c r="M228" s="8">
        <f>IF(OR(I228="",K228&lt;&gt;""),"",I228-TODAY())</f>
      </c>
      <c r="N228" s="8">
        <f>IF(E228="","",IF(K228&lt;&gt;"",IF(L228="","Preuve à joindre","Levée"),IF(I228="","À planifier",IF(M228&lt;0,"En retard","En cours"))))</f>
      </c>
    </row>
    <row r="229" spans="1:14" x14ac:dyDescent="0.25">
      <c r="A229" s="5">
        <v>225</v>
      </c>
      <c r="B229" s="6"/>
      <c r="C229" s="5"/>
      <c r="D229" s="5"/>
      <c r="E229" s="7"/>
      <c r="F229" s="5"/>
      <c r="G229" s="7"/>
      <c r="H229" s="5"/>
      <c r="I229" s="6"/>
      <c r="J229" s="5"/>
      <c r="K229" s="6"/>
      <c r="L229" s="7"/>
      <c r="M229" s="8">
        <f>IF(OR(I229="",K229&lt;&gt;""),"",I229-TODAY())</f>
      </c>
      <c r="N229" s="8">
        <f>IF(E229="","",IF(K229&lt;&gt;"",IF(L229="","Preuve à joindre","Levée"),IF(I229="","À planifier",IF(M229&lt;0,"En retard","En cours"))))</f>
      </c>
    </row>
    <row r="230" spans="1:14" x14ac:dyDescent="0.25">
      <c r="A230" s="5">
        <v>226</v>
      </c>
      <c r="B230" s="6"/>
      <c r="C230" s="5"/>
      <c r="D230" s="5"/>
      <c r="E230" s="7"/>
      <c r="F230" s="5"/>
      <c r="G230" s="7"/>
      <c r="H230" s="5"/>
      <c r="I230" s="6"/>
      <c r="J230" s="5"/>
      <c r="K230" s="6"/>
      <c r="L230" s="7"/>
      <c r="M230" s="8">
        <f>IF(OR(I230="",K230&lt;&gt;""),"",I230-TODAY())</f>
      </c>
      <c r="N230" s="8">
        <f>IF(E230="","",IF(K230&lt;&gt;"",IF(L230="","Preuve à joindre","Levée"),IF(I230="","À planifier",IF(M230&lt;0,"En retard","En cours"))))</f>
      </c>
    </row>
    <row r="231" spans="1:14" x14ac:dyDescent="0.25">
      <c r="A231" s="5">
        <v>227</v>
      </c>
      <c r="B231" s="6"/>
      <c r="C231" s="5"/>
      <c r="D231" s="5"/>
      <c r="E231" s="7"/>
      <c r="F231" s="5"/>
      <c r="G231" s="7"/>
      <c r="H231" s="5"/>
      <c r="I231" s="6"/>
      <c r="J231" s="5"/>
      <c r="K231" s="6"/>
      <c r="L231" s="7"/>
      <c r="M231" s="8">
        <f>IF(OR(I231="",K231&lt;&gt;""),"",I231-TODAY())</f>
      </c>
      <c r="N231" s="8">
        <f>IF(E231="","",IF(K231&lt;&gt;"",IF(L231="","Preuve à joindre","Levée"),IF(I231="","À planifier",IF(M231&lt;0,"En retard","En cours"))))</f>
      </c>
    </row>
    <row r="232" spans="1:14" x14ac:dyDescent="0.25">
      <c r="A232" s="5">
        <v>228</v>
      </c>
      <c r="B232" s="6"/>
      <c r="C232" s="5"/>
      <c r="D232" s="5"/>
      <c r="E232" s="7"/>
      <c r="F232" s="5"/>
      <c r="G232" s="7"/>
      <c r="H232" s="5"/>
      <c r="I232" s="6"/>
      <c r="J232" s="5"/>
      <c r="K232" s="6"/>
      <c r="L232" s="7"/>
      <c r="M232" s="8">
        <f>IF(OR(I232="",K232&lt;&gt;""),"",I232-TODAY())</f>
      </c>
      <c r="N232" s="8">
        <f>IF(E232="","",IF(K232&lt;&gt;"",IF(L232="","Preuve à joindre","Levée"),IF(I232="","À planifier",IF(M232&lt;0,"En retard","En cours"))))</f>
      </c>
    </row>
    <row r="233" spans="1:14" x14ac:dyDescent="0.25">
      <c r="A233" s="5">
        <v>229</v>
      </c>
      <c r="B233" s="6"/>
      <c r="C233" s="5"/>
      <c r="D233" s="5"/>
      <c r="E233" s="7"/>
      <c r="F233" s="5"/>
      <c r="G233" s="7"/>
      <c r="H233" s="5"/>
      <c r="I233" s="6"/>
      <c r="J233" s="5"/>
      <c r="K233" s="6"/>
      <c r="L233" s="7"/>
      <c r="M233" s="8">
        <f>IF(OR(I233="",K233&lt;&gt;""),"",I233-TODAY())</f>
      </c>
      <c r="N233" s="8">
        <f>IF(E233="","",IF(K233&lt;&gt;"",IF(L233="","Preuve à joindre","Levée"),IF(I233="","À planifier",IF(M233&lt;0,"En retard","En cours"))))</f>
      </c>
    </row>
    <row r="234" spans="1:14" x14ac:dyDescent="0.25">
      <c r="A234" s="5">
        <v>230</v>
      </c>
      <c r="B234" s="6"/>
      <c r="C234" s="5"/>
      <c r="D234" s="5"/>
      <c r="E234" s="7"/>
      <c r="F234" s="5"/>
      <c r="G234" s="7"/>
      <c r="H234" s="5"/>
      <c r="I234" s="6"/>
      <c r="J234" s="5"/>
      <c r="K234" s="6"/>
      <c r="L234" s="7"/>
      <c r="M234" s="8">
        <f>IF(OR(I234="",K234&lt;&gt;""),"",I234-TODAY())</f>
      </c>
      <c r="N234" s="8">
        <f>IF(E234="","",IF(K234&lt;&gt;"",IF(L234="","Preuve à joindre","Levée"),IF(I234="","À planifier",IF(M234&lt;0,"En retard","En cours"))))</f>
      </c>
    </row>
    <row r="235" spans="1:14" x14ac:dyDescent="0.25">
      <c r="A235" s="5">
        <v>231</v>
      </c>
      <c r="B235" s="6"/>
      <c r="C235" s="5"/>
      <c r="D235" s="5"/>
      <c r="E235" s="7"/>
      <c r="F235" s="5"/>
      <c r="G235" s="7"/>
      <c r="H235" s="5"/>
      <c r="I235" s="6"/>
      <c r="J235" s="5"/>
      <c r="K235" s="6"/>
      <c r="L235" s="7"/>
      <c r="M235" s="8">
        <f>IF(OR(I235="",K235&lt;&gt;""),"",I235-TODAY())</f>
      </c>
      <c r="N235" s="8">
        <f>IF(E235="","",IF(K235&lt;&gt;"",IF(L235="","Preuve à joindre","Levée"),IF(I235="","À planifier",IF(M235&lt;0,"En retard","En cours"))))</f>
      </c>
    </row>
    <row r="236" spans="1:14" x14ac:dyDescent="0.25">
      <c r="A236" s="5">
        <v>232</v>
      </c>
      <c r="B236" s="6"/>
      <c r="C236" s="5"/>
      <c r="D236" s="5"/>
      <c r="E236" s="7"/>
      <c r="F236" s="5"/>
      <c r="G236" s="7"/>
      <c r="H236" s="5"/>
      <c r="I236" s="6"/>
      <c r="J236" s="5"/>
      <c r="K236" s="6"/>
      <c r="L236" s="7"/>
      <c r="M236" s="8">
        <f>IF(OR(I236="",K236&lt;&gt;""),"",I236-TODAY())</f>
      </c>
      <c r="N236" s="8">
        <f>IF(E236="","",IF(K236&lt;&gt;"",IF(L236="","Preuve à joindre","Levée"),IF(I236="","À planifier",IF(M236&lt;0,"En retard","En cours"))))</f>
      </c>
    </row>
    <row r="237" spans="1:14" x14ac:dyDescent="0.25">
      <c r="A237" s="5">
        <v>233</v>
      </c>
      <c r="B237" s="6"/>
      <c r="C237" s="5"/>
      <c r="D237" s="5"/>
      <c r="E237" s="7"/>
      <c r="F237" s="5"/>
      <c r="G237" s="7"/>
      <c r="H237" s="5"/>
      <c r="I237" s="6"/>
      <c r="J237" s="5"/>
      <c r="K237" s="6"/>
      <c r="L237" s="7"/>
      <c r="M237" s="8">
        <f>IF(OR(I237="",K237&lt;&gt;""),"",I237-TODAY())</f>
      </c>
      <c r="N237" s="8">
        <f>IF(E237="","",IF(K237&lt;&gt;"",IF(L237="","Preuve à joindre","Levée"),IF(I237="","À planifier",IF(M237&lt;0,"En retard","En cours"))))</f>
      </c>
    </row>
    <row r="238" spans="1:14" x14ac:dyDescent="0.25">
      <c r="A238" s="5">
        <v>234</v>
      </c>
      <c r="B238" s="6"/>
      <c r="C238" s="5"/>
      <c r="D238" s="5"/>
      <c r="E238" s="7"/>
      <c r="F238" s="5"/>
      <c r="G238" s="7"/>
      <c r="H238" s="5"/>
      <c r="I238" s="6"/>
      <c r="J238" s="5"/>
      <c r="K238" s="6"/>
      <c r="L238" s="7"/>
      <c r="M238" s="8">
        <f>IF(OR(I238="",K238&lt;&gt;""),"",I238-TODAY())</f>
      </c>
      <c r="N238" s="8">
        <f>IF(E238="","",IF(K238&lt;&gt;"",IF(L238="","Preuve à joindre","Levée"),IF(I238="","À planifier",IF(M238&lt;0,"En retard","En cours"))))</f>
      </c>
    </row>
    <row r="239" spans="1:14" x14ac:dyDescent="0.25">
      <c r="A239" s="5">
        <v>235</v>
      </c>
      <c r="B239" s="6"/>
      <c r="C239" s="5"/>
      <c r="D239" s="5"/>
      <c r="E239" s="7"/>
      <c r="F239" s="5"/>
      <c r="G239" s="7"/>
      <c r="H239" s="5"/>
      <c r="I239" s="6"/>
      <c r="J239" s="5"/>
      <c r="K239" s="6"/>
      <c r="L239" s="7"/>
      <c r="M239" s="8">
        <f>IF(OR(I239="",K239&lt;&gt;""),"",I239-TODAY())</f>
      </c>
      <c r="N239" s="8">
        <f>IF(E239="","",IF(K239&lt;&gt;"",IF(L239="","Preuve à joindre","Levée"),IF(I239="","À planifier",IF(M239&lt;0,"En retard","En cours"))))</f>
      </c>
    </row>
    <row r="240" spans="1:14" x14ac:dyDescent="0.25">
      <c r="A240" s="5">
        <v>236</v>
      </c>
      <c r="B240" s="6"/>
      <c r="C240" s="5"/>
      <c r="D240" s="5"/>
      <c r="E240" s="7"/>
      <c r="F240" s="5"/>
      <c r="G240" s="7"/>
      <c r="H240" s="5"/>
      <c r="I240" s="6"/>
      <c r="J240" s="5"/>
      <c r="K240" s="6"/>
      <c r="L240" s="7"/>
      <c r="M240" s="8">
        <f>IF(OR(I240="",K240&lt;&gt;""),"",I240-TODAY())</f>
      </c>
      <c r="N240" s="8">
        <f>IF(E240="","",IF(K240&lt;&gt;"",IF(L240="","Preuve à joindre","Levée"),IF(I240="","À planifier",IF(M240&lt;0,"En retard","En cours"))))</f>
      </c>
    </row>
    <row r="241" spans="1:14" x14ac:dyDescent="0.25">
      <c r="A241" s="5">
        <v>237</v>
      </c>
      <c r="B241" s="6"/>
      <c r="C241" s="5"/>
      <c r="D241" s="5"/>
      <c r="E241" s="7"/>
      <c r="F241" s="5"/>
      <c r="G241" s="7"/>
      <c r="H241" s="5"/>
      <c r="I241" s="6"/>
      <c r="J241" s="5"/>
      <c r="K241" s="6"/>
      <c r="L241" s="7"/>
      <c r="M241" s="8">
        <f>IF(OR(I241="",K241&lt;&gt;""),"",I241-TODAY())</f>
      </c>
      <c r="N241" s="8">
        <f>IF(E241="","",IF(K241&lt;&gt;"",IF(L241="","Preuve à joindre","Levée"),IF(I241="","À planifier",IF(M241&lt;0,"En retard","En cours"))))</f>
      </c>
    </row>
    <row r="242" spans="1:14" x14ac:dyDescent="0.25">
      <c r="A242" s="5">
        <v>238</v>
      </c>
      <c r="B242" s="6"/>
      <c r="C242" s="5"/>
      <c r="D242" s="5"/>
      <c r="E242" s="7"/>
      <c r="F242" s="5"/>
      <c r="G242" s="7"/>
      <c r="H242" s="5"/>
      <c r="I242" s="6"/>
      <c r="J242" s="5"/>
      <c r="K242" s="6"/>
      <c r="L242" s="7"/>
      <c r="M242" s="8">
        <f>IF(OR(I242="",K242&lt;&gt;""),"",I242-TODAY())</f>
      </c>
      <c r="N242" s="8">
        <f>IF(E242="","",IF(K242&lt;&gt;"",IF(L242="","Preuve à joindre","Levée"),IF(I242="","À planifier",IF(M242&lt;0,"En retard","En cours"))))</f>
      </c>
    </row>
    <row r="243" spans="1:14" x14ac:dyDescent="0.25">
      <c r="A243" s="5">
        <v>239</v>
      </c>
      <c r="B243" s="6"/>
      <c r="C243" s="5"/>
      <c r="D243" s="5"/>
      <c r="E243" s="7"/>
      <c r="F243" s="5"/>
      <c r="G243" s="7"/>
      <c r="H243" s="5"/>
      <c r="I243" s="6"/>
      <c r="J243" s="5"/>
      <c r="K243" s="6"/>
      <c r="L243" s="7"/>
      <c r="M243" s="8">
        <f>IF(OR(I243="",K243&lt;&gt;""),"",I243-TODAY())</f>
      </c>
      <c r="N243" s="8">
        <f>IF(E243="","",IF(K243&lt;&gt;"",IF(L243="","Preuve à joindre","Levée"),IF(I243="","À planifier",IF(M243&lt;0,"En retard","En cours"))))</f>
      </c>
    </row>
    <row r="244" spans="1:14" x14ac:dyDescent="0.25">
      <c r="A244" s="5">
        <v>240</v>
      </c>
      <c r="B244" s="6"/>
      <c r="C244" s="5"/>
      <c r="D244" s="5"/>
      <c r="E244" s="7"/>
      <c r="F244" s="5"/>
      <c r="G244" s="7"/>
      <c r="H244" s="5"/>
      <c r="I244" s="6"/>
      <c r="J244" s="5"/>
      <c r="K244" s="6"/>
      <c r="L244" s="7"/>
      <c r="M244" s="8">
        <f>IF(OR(I244="",K244&lt;&gt;""),"",I244-TODAY())</f>
      </c>
      <c r="N244" s="8">
        <f>IF(E244="","",IF(K244&lt;&gt;"",IF(L244="","Preuve à joindre","Levée"),IF(I244="","À planifier",IF(M244&lt;0,"En retard","En cours"))))</f>
      </c>
    </row>
    <row r="245" spans="1:14" x14ac:dyDescent="0.25">
      <c r="A245" s="5">
        <v>241</v>
      </c>
      <c r="B245" s="6"/>
      <c r="C245" s="5"/>
      <c r="D245" s="5"/>
      <c r="E245" s="7"/>
      <c r="F245" s="5"/>
      <c r="G245" s="7"/>
      <c r="H245" s="5"/>
      <c r="I245" s="6"/>
      <c r="J245" s="5"/>
      <c r="K245" s="6"/>
      <c r="L245" s="7"/>
      <c r="M245" s="8">
        <f>IF(OR(I245="",K245&lt;&gt;""),"",I245-TODAY())</f>
      </c>
      <c r="N245" s="8">
        <f>IF(E245="","",IF(K245&lt;&gt;"",IF(L245="","Preuve à joindre","Levée"),IF(I245="","À planifier",IF(M245&lt;0,"En retard","En cours"))))</f>
      </c>
    </row>
    <row r="246" spans="1:14" x14ac:dyDescent="0.25">
      <c r="A246" s="5">
        <v>242</v>
      </c>
      <c r="B246" s="6"/>
      <c r="C246" s="5"/>
      <c r="D246" s="5"/>
      <c r="E246" s="7"/>
      <c r="F246" s="5"/>
      <c r="G246" s="7"/>
      <c r="H246" s="5"/>
      <c r="I246" s="6"/>
      <c r="J246" s="5"/>
      <c r="K246" s="6"/>
      <c r="L246" s="7"/>
      <c r="M246" s="8">
        <f>IF(OR(I246="",K246&lt;&gt;""),"",I246-TODAY())</f>
      </c>
      <c r="N246" s="8">
        <f>IF(E246="","",IF(K246&lt;&gt;"",IF(L246="","Preuve à joindre","Levée"),IF(I246="","À planifier",IF(M246&lt;0,"En retard","En cours"))))</f>
      </c>
    </row>
    <row r="247" spans="1:14" x14ac:dyDescent="0.25">
      <c r="A247" s="5">
        <v>243</v>
      </c>
      <c r="B247" s="6"/>
      <c r="C247" s="5"/>
      <c r="D247" s="5"/>
      <c r="E247" s="7"/>
      <c r="F247" s="5"/>
      <c r="G247" s="7"/>
      <c r="H247" s="5"/>
      <c r="I247" s="6"/>
      <c r="J247" s="5"/>
      <c r="K247" s="6"/>
      <c r="L247" s="7"/>
      <c r="M247" s="8">
        <f>IF(OR(I247="",K247&lt;&gt;""),"",I247-TODAY())</f>
      </c>
      <c r="N247" s="8">
        <f>IF(E247="","",IF(K247&lt;&gt;"",IF(L247="","Preuve à joindre","Levée"),IF(I247="","À planifier",IF(M247&lt;0,"En retard","En cours"))))</f>
      </c>
    </row>
    <row r="248" spans="1:14" x14ac:dyDescent="0.25">
      <c r="A248" s="5">
        <v>244</v>
      </c>
      <c r="B248" s="6"/>
      <c r="C248" s="5"/>
      <c r="D248" s="5"/>
      <c r="E248" s="7"/>
      <c r="F248" s="5"/>
      <c r="G248" s="7"/>
      <c r="H248" s="5"/>
      <c r="I248" s="6"/>
      <c r="J248" s="5"/>
      <c r="K248" s="6"/>
      <c r="L248" s="7"/>
      <c r="M248" s="8">
        <f>IF(OR(I248="",K248&lt;&gt;""),"",I248-TODAY())</f>
      </c>
      <c r="N248" s="8">
        <f>IF(E248="","",IF(K248&lt;&gt;"",IF(L248="","Preuve à joindre","Levée"),IF(I248="","À planifier",IF(M248&lt;0,"En retard","En cours"))))</f>
      </c>
    </row>
    <row r="249" spans="1:14" x14ac:dyDescent="0.25">
      <c r="A249" s="5">
        <v>245</v>
      </c>
      <c r="B249" s="6"/>
      <c r="C249" s="5"/>
      <c r="D249" s="5"/>
      <c r="E249" s="7"/>
      <c r="F249" s="5"/>
      <c r="G249" s="7"/>
      <c r="H249" s="5"/>
      <c r="I249" s="6"/>
      <c r="J249" s="5"/>
      <c r="K249" s="6"/>
      <c r="L249" s="7"/>
      <c r="M249" s="8">
        <f>IF(OR(I249="",K249&lt;&gt;""),"",I249-TODAY())</f>
      </c>
      <c r="N249" s="8">
        <f>IF(E249="","",IF(K249&lt;&gt;"",IF(L249="","Preuve à joindre","Levée"),IF(I249="","À planifier",IF(M249&lt;0,"En retard","En cours"))))</f>
      </c>
    </row>
    <row r="250" spans="1:14" x14ac:dyDescent="0.25">
      <c r="A250" s="5">
        <v>246</v>
      </c>
      <c r="B250" s="6"/>
      <c r="C250" s="5"/>
      <c r="D250" s="5"/>
      <c r="E250" s="7"/>
      <c r="F250" s="5"/>
      <c r="G250" s="7"/>
      <c r="H250" s="5"/>
      <c r="I250" s="6"/>
      <c r="J250" s="5"/>
      <c r="K250" s="6"/>
      <c r="L250" s="7"/>
      <c r="M250" s="8">
        <f>IF(OR(I250="",K250&lt;&gt;""),"",I250-TODAY())</f>
      </c>
      <c r="N250" s="8">
        <f>IF(E250="","",IF(K250&lt;&gt;"",IF(L250="","Preuve à joindre","Levée"),IF(I250="","À planifier",IF(M250&lt;0,"En retard","En cours"))))</f>
      </c>
    </row>
    <row r="251" spans="1:14" x14ac:dyDescent="0.25">
      <c r="A251" s="5">
        <v>247</v>
      </c>
      <c r="B251" s="6"/>
      <c r="C251" s="5"/>
      <c r="D251" s="5"/>
      <c r="E251" s="7"/>
      <c r="F251" s="5"/>
      <c r="G251" s="7"/>
      <c r="H251" s="5"/>
      <c r="I251" s="6"/>
      <c r="J251" s="5"/>
      <c r="K251" s="6"/>
      <c r="L251" s="7"/>
      <c r="M251" s="8">
        <f>IF(OR(I251="",K251&lt;&gt;""),"",I251-TODAY())</f>
      </c>
      <c r="N251" s="8">
        <f>IF(E251="","",IF(K251&lt;&gt;"",IF(L251="","Preuve à joindre","Levée"),IF(I251="","À planifier",IF(M251&lt;0,"En retard","En cours"))))</f>
      </c>
    </row>
    <row r="252" spans="1:14" x14ac:dyDescent="0.25">
      <c r="A252" s="5">
        <v>248</v>
      </c>
      <c r="B252" s="6"/>
      <c r="C252" s="5"/>
      <c r="D252" s="5"/>
      <c r="E252" s="7"/>
      <c r="F252" s="5"/>
      <c r="G252" s="7"/>
      <c r="H252" s="5"/>
      <c r="I252" s="6"/>
      <c r="J252" s="5"/>
      <c r="K252" s="6"/>
      <c r="L252" s="7"/>
      <c r="M252" s="8">
        <f>IF(OR(I252="",K252&lt;&gt;""),"",I252-TODAY())</f>
      </c>
      <c r="N252" s="8">
        <f>IF(E252="","",IF(K252&lt;&gt;"",IF(L252="","Preuve à joindre","Levée"),IF(I252="","À planifier",IF(M252&lt;0,"En retard","En cours"))))</f>
      </c>
    </row>
    <row r="253" spans="1:14" x14ac:dyDescent="0.25">
      <c r="A253" s="5">
        <v>249</v>
      </c>
      <c r="B253" s="6"/>
      <c r="C253" s="5"/>
      <c r="D253" s="5"/>
      <c r="E253" s="7"/>
      <c r="F253" s="5"/>
      <c r="G253" s="7"/>
      <c r="H253" s="5"/>
      <c r="I253" s="6"/>
      <c r="J253" s="5"/>
      <c r="K253" s="6"/>
      <c r="L253" s="7"/>
      <c r="M253" s="8">
        <f>IF(OR(I253="",K253&lt;&gt;""),"",I253-TODAY())</f>
      </c>
      <c r="N253" s="8">
        <f>IF(E253="","",IF(K253&lt;&gt;"",IF(L253="","Preuve à joindre","Levée"),IF(I253="","À planifier",IF(M253&lt;0,"En retard","En cours"))))</f>
      </c>
    </row>
    <row r="254" spans="1:14" x14ac:dyDescent="0.25">
      <c r="A254" s="5">
        <v>250</v>
      </c>
      <c r="B254" s="6"/>
      <c r="C254" s="5"/>
      <c r="D254" s="5"/>
      <c r="E254" s="7"/>
      <c r="F254" s="5"/>
      <c r="G254" s="7"/>
      <c r="H254" s="5"/>
      <c r="I254" s="6"/>
      <c r="J254" s="5"/>
      <c r="K254" s="6"/>
      <c r="L254" s="7"/>
      <c r="M254" s="8">
        <f>IF(OR(I254="",K254&lt;&gt;""),"",I254-TODAY())</f>
      </c>
      <c r="N254" s="8">
        <f>IF(E254="","",IF(K254&lt;&gt;"",IF(L254="","Preuve à joindre","Levée"),IF(I254="","À planifier",IF(M254&lt;0,"En retard","En cours"))))</f>
      </c>
    </row>
    <row r="255" spans="1:14" x14ac:dyDescent="0.25">
      <c r="A255" s="5">
        <v>251</v>
      </c>
      <c r="B255" s="6"/>
      <c r="C255" s="5"/>
      <c r="D255" s="5"/>
      <c r="E255" s="7"/>
      <c r="F255" s="5"/>
      <c r="G255" s="7"/>
      <c r="H255" s="5"/>
      <c r="I255" s="6"/>
      <c r="J255" s="5"/>
      <c r="K255" s="6"/>
      <c r="L255" s="7"/>
      <c r="M255" s="8">
        <f>IF(OR(I255="",K255&lt;&gt;""),"",I255-TODAY())</f>
      </c>
      <c r="N255" s="8">
        <f>IF(E255="","",IF(K255&lt;&gt;"",IF(L255="","Preuve à joindre","Levée"),IF(I255="","À planifier",IF(M255&lt;0,"En retard","En cours"))))</f>
      </c>
    </row>
    <row r="256" spans="1:14" x14ac:dyDescent="0.25">
      <c r="A256" s="5">
        <v>252</v>
      </c>
      <c r="B256" s="6"/>
      <c r="C256" s="5"/>
      <c r="D256" s="5"/>
      <c r="E256" s="7"/>
      <c r="F256" s="5"/>
      <c r="G256" s="7"/>
      <c r="H256" s="5"/>
      <c r="I256" s="6"/>
      <c r="J256" s="5"/>
      <c r="K256" s="6"/>
      <c r="L256" s="7"/>
      <c r="M256" s="8">
        <f>IF(OR(I256="",K256&lt;&gt;""),"",I256-TODAY())</f>
      </c>
      <c r="N256" s="8">
        <f>IF(E256="","",IF(K256&lt;&gt;"",IF(L256="","Preuve à joindre","Levée"),IF(I256="","À planifier",IF(M256&lt;0,"En retard","En cours"))))</f>
      </c>
    </row>
    <row r="257" spans="1:14" x14ac:dyDescent="0.25">
      <c r="A257" s="5">
        <v>253</v>
      </c>
      <c r="B257" s="6"/>
      <c r="C257" s="5"/>
      <c r="D257" s="5"/>
      <c r="E257" s="7"/>
      <c r="F257" s="5"/>
      <c r="G257" s="7"/>
      <c r="H257" s="5"/>
      <c r="I257" s="6"/>
      <c r="J257" s="5"/>
      <c r="K257" s="6"/>
      <c r="L257" s="7"/>
      <c r="M257" s="8">
        <f>IF(OR(I257="",K257&lt;&gt;""),"",I257-TODAY())</f>
      </c>
      <c r="N257" s="8">
        <f>IF(E257="","",IF(K257&lt;&gt;"",IF(L257="","Preuve à joindre","Levée"),IF(I257="","À planifier",IF(M257&lt;0,"En retard","En cours"))))</f>
      </c>
    </row>
    <row r="258" spans="1:14" x14ac:dyDescent="0.25">
      <c r="A258" s="5">
        <v>254</v>
      </c>
      <c r="B258" s="6"/>
      <c r="C258" s="5"/>
      <c r="D258" s="5"/>
      <c r="E258" s="7"/>
      <c r="F258" s="5"/>
      <c r="G258" s="7"/>
      <c r="H258" s="5"/>
      <c r="I258" s="6"/>
      <c r="J258" s="5"/>
      <c r="K258" s="6"/>
      <c r="L258" s="7"/>
      <c r="M258" s="8">
        <f>IF(OR(I258="",K258&lt;&gt;""),"",I258-TODAY())</f>
      </c>
      <c r="N258" s="8">
        <f>IF(E258="","",IF(K258&lt;&gt;"",IF(L258="","Preuve à joindre","Levée"),IF(I258="","À planifier",IF(M258&lt;0,"En retard","En cours"))))</f>
      </c>
    </row>
    <row r="259" spans="1:14" x14ac:dyDescent="0.25">
      <c r="A259" s="5">
        <v>255</v>
      </c>
      <c r="B259" s="6"/>
      <c r="C259" s="5"/>
      <c r="D259" s="5"/>
      <c r="E259" s="7"/>
      <c r="F259" s="5"/>
      <c r="G259" s="7"/>
      <c r="H259" s="5"/>
      <c r="I259" s="6"/>
      <c r="J259" s="5"/>
      <c r="K259" s="6"/>
      <c r="L259" s="7"/>
      <c r="M259" s="8">
        <f>IF(OR(I259="",K259&lt;&gt;""),"",I259-TODAY())</f>
      </c>
      <c r="N259" s="8">
        <f>IF(E259="","",IF(K259&lt;&gt;"",IF(L259="","Preuve à joindre","Levée"),IF(I259="","À planifier",IF(M259&lt;0,"En retard","En cours"))))</f>
      </c>
    </row>
    <row r="260" spans="1:14" x14ac:dyDescent="0.25">
      <c r="A260" s="5">
        <v>256</v>
      </c>
      <c r="B260" s="6"/>
      <c r="C260" s="5"/>
      <c r="D260" s="5"/>
      <c r="E260" s="7"/>
      <c r="F260" s="5"/>
      <c r="G260" s="7"/>
      <c r="H260" s="5"/>
      <c r="I260" s="6"/>
      <c r="J260" s="5"/>
      <c r="K260" s="6"/>
      <c r="L260" s="7"/>
      <c r="M260" s="8">
        <f>IF(OR(I260="",K260&lt;&gt;""),"",I260-TODAY())</f>
      </c>
      <c r="N260" s="8">
        <f>IF(E260="","",IF(K260&lt;&gt;"",IF(L260="","Preuve à joindre","Levée"),IF(I260="","À planifier",IF(M260&lt;0,"En retard","En cours"))))</f>
      </c>
    </row>
    <row r="261" spans="1:14" x14ac:dyDescent="0.25">
      <c r="A261" s="5">
        <v>257</v>
      </c>
      <c r="B261" s="6"/>
      <c r="C261" s="5"/>
      <c r="D261" s="5"/>
      <c r="E261" s="7"/>
      <c r="F261" s="5"/>
      <c r="G261" s="7"/>
      <c r="H261" s="5"/>
      <c r="I261" s="6"/>
      <c r="J261" s="5"/>
      <c r="K261" s="6"/>
      <c r="L261" s="7"/>
      <c r="M261" s="8">
        <f>IF(OR(I261="",K261&lt;&gt;""),"",I261-TODAY())</f>
      </c>
      <c r="N261" s="8">
        <f>IF(E261="","",IF(K261&lt;&gt;"",IF(L261="","Preuve à joindre","Levée"),IF(I261="","À planifier",IF(M261&lt;0,"En retard","En cours"))))</f>
      </c>
    </row>
    <row r="262" spans="1:14" x14ac:dyDescent="0.25">
      <c r="A262" s="5">
        <v>258</v>
      </c>
      <c r="B262" s="6"/>
      <c r="C262" s="5"/>
      <c r="D262" s="5"/>
      <c r="E262" s="7"/>
      <c r="F262" s="5"/>
      <c r="G262" s="7"/>
      <c r="H262" s="5"/>
      <c r="I262" s="6"/>
      <c r="J262" s="5"/>
      <c r="K262" s="6"/>
      <c r="L262" s="7"/>
      <c r="M262" s="8">
        <f>IF(OR(I262="",K262&lt;&gt;""),"",I262-TODAY())</f>
      </c>
      <c r="N262" s="8">
        <f>IF(E262="","",IF(K262&lt;&gt;"",IF(L262="","Preuve à joindre","Levée"),IF(I262="","À planifier",IF(M262&lt;0,"En retard","En cours"))))</f>
      </c>
    </row>
    <row r="263" spans="1:14" x14ac:dyDescent="0.25">
      <c r="A263" s="5">
        <v>259</v>
      </c>
      <c r="B263" s="6"/>
      <c r="C263" s="5"/>
      <c r="D263" s="5"/>
      <c r="E263" s="7"/>
      <c r="F263" s="5"/>
      <c r="G263" s="7"/>
      <c r="H263" s="5"/>
      <c r="I263" s="6"/>
      <c r="J263" s="5"/>
      <c r="K263" s="6"/>
      <c r="L263" s="7"/>
      <c r="M263" s="8">
        <f>IF(OR(I263="",K263&lt;&gt;""),"",I263-TODAY())</f>
      </c>
      <c r="N263" s="8">
        <f>IF(E263="","",IF(K263&lt;&gt;"",IF(L263="","Preuve à joindre","Levée"),IF(I263="","À planifier",IF(M263&lt;0,"En retard","En cours"))))</f>
      </c>
    </row>
    <row r="264" spans="1:14" x14ac:dyDescent="0.25">
      <c r="A264" s="5">
        <v>260</v>
      </c>
      <c r="B264" s="6"/>
      <c r="C264" s="5"/>
      <c r="D264" s="5"/>
      <c r="E264" s="7"/>
      <c r="F264" s="5"/>
      <c r="G264" s="7"/>
      <c r="H264" s="5"/>
      <c r="I264" s="6"/>
      <c r="J264" s="5"/>
      <c r="K264" s="6"/>
      <c r="L264" s="7"/>
      <c r="M264" s="8">
        <f>IF(OR(I264="",K264&lt;&gt;""),"",I264-TODAY())</f>
      </c>
      <c r="N264" s="8">
        <f>IF(E264="","",IF(K264&lt;&gt;"",IF(L264="","Preuve à joindre","Levée"),IF(I264="","À planifier",IF(M264&lt;0,"En retard","En cours"))))</f>
      </c>
    </row>
    <row r="265" spans="1:14" x14ac:dyDescent="0.25">
      <c r="A265" s="5">
        <v>261</v>
      </c>
      <c r="B265" s="6"/>
      <c r="C265" s="5"/>
      <c r="D265" s="5"/>
      <c r="E265" s="7"/>
      <c r="F265" s="5"/>
      <c r="G265" s="7"/>
      <c r="H265" s="5"/>
      <c r="I265" s="6"/>
      <c r="J265" s="5"/>
      <c r="K265" s="6"/>
      <c r="L265" s="7"/>
      <c r="M265" s="8">
        <f>IF(OR(I265="",K265&lt;&gt;""),"",I265-TODAY())</f>
      </c>
      <c r="N265" s="8">
        <f>IF(E265="","",IF(K265&lt;&gt;"",IF(L265="","Preuve à joindre","Levée"),IF(I265="","À planifier",IF(M265&lt;0,"En retard","En cours"))))</f>
      </c>
    </row>
    <row r="266" spans="1:14" x14ac:dyDescent="0.25">
      <c r="A266" s="5">
        <v>262</v>
      </c>
      <c r="B266" s="6"/>
      <c r="C266" s="5"/>
      <c r="D266" s="5"/>
      <c r="E266" s="7"/>
      <c r="F266" s="5"/>
      <c r="G266" s="7"/>
      <c r="H266" s="5"/>
      <c r="I266" s="6"/>
      <c r="J266" s="5"/>
      <c r="K266" s="6"/>
      <c r="L266" s="7"/>
      <c r="M266" s="8">
        <f>IF(OR(I266="",K266&lt;&gt;""),"",I266-TODAY())</f>
      </c>
      <c r="N266" s="8">
        <f>IF(E266="","",IF(K266&lt;&gt;"",IF(L266="","Preuve à joindre","Levée"),IF(I266="","À planifier",IF(M266&lt;0,"En retard","En cours"))))</f>
      </c>
    </row>
    <row r="267" spans="1:14" x14ac:dyDescent="0.25">
      <c r="A267" s="5">
        <v>263</v>
      </c>
      <c r="B267" s="6"/>
      <c r="C267" s="5"/>
      <c r="D267" s="5"/>
      <c r="E267" s="7"/>
      <c r="F267" s="5"/>
      <c r="G267" s="7"/>
      <c r="H267" s="5"/>
      <c r="I267" s="6"/>
      <c r="J267" s="5"/>
      <c r="K267" s="6"/>
      <c r="L267" s="7"/>
      <c r="M267" s="8">
        <f>IF(OR(I267="",K267&lt;&gt;""),"",I267-TODAY())</f>
      </c>
      <c r="N267" s="8">
        <f>IF(E267="","",IF(K267&lt;&gt;"",IF(L267="","Preuve à joindre","Levée"),IF(I267="","À planifier",IF(M267&lt;0,"En retard","En cours"))))</f>
      </c>
    </row>
    <row r="268" spans="1:14" x14ac:dyDescent="0.25">
      <c r="A268" s="5">
        <v>264</v>
      </c>
      <c r="B268" s="6"/>
      <c r="C268" s="5"/>
      <c r="D268" s="5"/>
      <c r="E268" s="7"/>
      <c r="F268" s="5"/>
      <c r="G268" s="7"/>
      <c r="H268" s="5"/>
      <c r="I268" s="6"/>
      <c r="J268" s="5"/>
      <c r="K268" s="6"/>
      <c r="L268" s="7"/>
      <c r="M268" s="8">
        <f>IF(OR(I268="",K268&lt;&gt;""),"",I268-TODAY())</f>
      </c>
      <c r="N268" s="8">
        <f>IF(E268="","",IF(K268&lt;&gt;"",IF(L268="","Preuve à joindre","Levée"),IF(I268="","À planifier",IF(M268&lt;0,"En retard","En cours"))))</f>
      </c>
    </row>
    <row r="269" spans="1:14" x14ac:dyDescent="0.25">
      <c r="A269" s="5">
        <v>265</v>
      </c>
      <c r="B269" s="6"/>
      <c r="C269" s="5"/>
      <c r="D269" s="5"/>
      <c r="E269" s="7"/>
      <c r="F269" s="5"/>
      <c r="G269" s="7"/>
      <c r="H269" s="5"/>
      <c r="I269" s="6"/>
      <c r="J269" s="5"/>
      <c r="K269" s="6"/>
      <c r="L269" s="7"/>
      <c r="M269" s="8">
        <f>IF(OR(I269="",K269&lt;&gt;""),"",I269-TODAY())</f>
      </c>
      <c r="N269" s="8">
        <f>IF(E269="","",IF(K269&lt;&gt;"",IF(L269="","Preuve à joindre","Levée"),IF(I269="","À planifier",IF(M269&lt;0,"En retard","En cours"))))</f>
      </c>
    </row>
    <row r="270" spans="1:14" x14ac:dyDescent="0.25">
      <c r="A270" s="5">
        <v>266</v>
      </c>
      <c r="B270" s="6"/>
      <c r="C270" s="5"/>
      <c r="D270" s="5"/>
      <c r="E270" s="7"/>
      <c r="F270" s="5"/>
      <c r="G270" s="7"/>
      <c r="H270" s="5"/>
      <c r="I270" s="6"/>
      <c r="J270" s="5"/>
      <c r="K270" s="6"/>
      <c r="L270" s="7"/>
      <c r="M270" s="8">
        <f>IF(OR(I270="",K270&lt;&gt;""),"",I270-TODAY())</f>
      </c>
      <c r="N270" s="8">
        <f>IF(E270="","",IF(K270&lt;&gt;"",IF(L270="","Preuve à joindre","Levée"),IF(I270="","À planifier",IF(M270&lt;0,"En retard","En cours"))))</f>
      </c>
    </row>
    <row r="271" spans="1:14" x14ac:dyDescent="0.25">
      <c r="A271" s="5">
        <v>267</v>
      </c>
      <c r="B271" s="6"/>
      <c r="C271" s="5"/>
      <c r="D271" s="5"/>
      <c r="E271" s="7"/>
      <c r="F271" s="5"/>
      <c r="G271" s="7"/>
      <c r="H271" s="5"/>
      <c r="I271" s="6"/>
      <c r="J271" s="5"/>
      <c r="K271" s="6"/>
      <c r="L271" s="7"/>
      <c r="M271" s="8">
        <f>IF(OR(I271="",K271&lt;&gt;""),"",I271-TODAY())</f>
      </c>
      <c r="N271" s="8">
        <f>IF(E271="","",IF(K271&lt;&gt;"",IF(L271="","Preuve à joindre","Levée"),IF(I271="","À planifier",IF(M271&lt;0,"En retard","En cours"))))</f>
      </c>
    </row>
    <row r="272" spans="1:14" x14ac:dyDescent="0.25">
      <c r="A272" s="5">
        <v>268</v>
      </c>
      <c r="B272" s="6"/>
      <c r="C272" s="5"/>
      <c r="D272" s="5"/>
      <c r="E272" s="7"/>
      <c r="F272" s="5"/>
      <c r="G272" s="7"/>
      <c r="H272" s="5"/>
      <c r="I272" s="6"/>
      <c r="J272" s="5"/>
      <c r="K272" s="6"/>
      <c r="L272" s="7"/>
      <c r="M272" s="8">
        <f>IF(OR(I272="",K272&lt;&gt;""),"",I272-TODAY())</f>
      </c>
      <c r="N272" s="8">
        <f>IF(E272="","",IF(K272&lt;&gt;"",IF(L272="","Preuve à joindre","Levée"),IF(I272="","À planifier",IF(M272&lt;0,"En retard","En cours"))))</f>
      </c>
    </row>
    <row r="273" spans="1:14" x14ac:dyDescent="0.25">
      <c r="A273" s="5">
        <v>269</v>
      </c>
      <c r="B273" s="6"/>
      <c r="C273" s="5"/>
      <c r="D273" s="5"/>
      <c r="E273" s="7"/>
      <c r="F273" s="5"/>
      <c r="G273" s="7"/>
      <c r="H273" s="5"/>
      <c r="I273" s="6"/>
      <c r="J273" s="5"/>
      <c r="K273" s="6"/>
      <c r="L273" s="7"/>
      <c r="M273" s="8">
        <f>IF(OR(I273="",K273&lt;&gt;""),"",I273-TODAY())</f>
      </c>
      <c r="N273" s="8">
        <f>IF(E273="","",IF(K273&lt;&gt;"",IF(L273="","Preuve à joindre","Levée"),IF(I273="","À planifier",IF(M273&lt;0,"En retard","En cours"))))</f>
      </c>
    </row>
    <row r="274" spans="1:14" x14ac:dyDescent="0.25">
      <c r="A274" s="5">
        <v>270</v>
      </c>
      <c r="B274" s="6"/>
      <c r="C274" s="5"/>
      <c r="D274" s="5"/>
      <c r="E274" s="7"/>
      <c r="F274" s="5"/>
      <c r="G274" s="7"/>
      <c r="H274" s="5"/>
      <c r="I274" s="6"/>
      <c r="J274" s="5"/>
      <c r="K274" s="6"/>
      <c r="L274" s="7"/>
      <c r="M274" s="8">
        <f>IF(OR(I274="",K274&lt;&gt;""),"",I274-TODAY())</f>
      </c>
      <c r="N274" s="8">
        <f>IF(E274="","",IF(K274&lt;&gt;"",IF(L274="","Preuve à joindre","Levée"),IF(I274="","À planifier",IF(M274&lt;0,"En retard","En cours"))))</f>
      </c>
    </row>
    <row r="275" spans="1:14" x14ac:dyDescent="0.25">
      <c r="A275" s="5">
        <v>271</v>
      </c>
      <c r="B275" s="6"/>
      <c r="C275" s="5"/>
      <c r="D275" s="5"/>
      <c r="E275" s="7"/>
      <c r="F275" s="5"/>
      <c r="G275" s="7"/>
      <c r="H275" s="5"/>
      <c r="I275" s="6"/>
      <c r="J275" s="5"/>
      <c r="K275" s="6"/>
      <c r="L275" s="7"/>
      <c r="M275" s="8">
        <f>IF(OR(I275="",K275&lt;&gt;""),"",I275-TODAY())</f>
      </c>
      <c r="N275" s="8">
        <f>IF(E275="","",IF(K275&lt;&gt;"",IF(L275="","Preuve à joindre","Levée"),IF(I275="","À planifier",IF(M275&lt;0,"En retard","En cours"))))</f>
      </c>
    </row>
    <row r="276" spans="1:14" x14ac:dyDescent="0.25">
      <c r="A276" s="5">
        <v>272</v>
      </c>
      <c r="B276" s="6"/>
      <c r="C276" s="5"/>
      <c r="D276" s="5"/>
      <c r="E276" s="7"/>
      <c r="F276" s="5"/>
      <c r="G276" s="7"/>
      <c r="H276" s="5"/>
      <c r="I276" s="6"/>
      <c r="J276" s="5"/>
      <c r="K276" s="6"/>
      <c r="L276" s="7"/>
      <c r="M276" s="8">
        <f>IF(OR(I276="",K276&lt;&gt;""),"",I276-TODAY())</f>
      </c>
      <c r="N276" s="8">
        <f>IF(E276="","",IF(K276&lt;&gt;"",IF(L276="","Preuve à joindre","Levée"),IF(I276="","À planifier",IF(M276&lt;0,"En retard","En cours"))))</f>
      </c>
    </row>
    <row r="277" spans="1:14" x14ac:dyDescent="0.25">
      <c r="A277" s="5">
        <v>273</v>
      </c>
      <c r="B277" s="6"/>
      <c r="C277" s="5"/>
      <c r="D277" s="5"/>
      <c r="E277" s="7"/>
      <c r="F277" s="5"/>
      <c r="G277" s="7"/>
      <c r="H277" s="5"/>
      <c r="I277" s="6"/>
      <c r="J277" s="5"/>
      <c r="K277" s="6"/>
      <c r="L277" s="7"/>
      <c r="M277" s="8">
        <f>IF(OR(I277="",K277&lt;&gt;""),"",I277-TODAY())</f>
      </c>
      <c r="N277" s="8">
        <f>IF(E277="","",IF(K277&lt;&gt;"",IF(L277="","Preuve à joindre","Levée"),IF(I277="","À planifier",IF(M277&lt;0,"En retard","En cours"))))</f>
      </c>
    </row>
    <row r="278" spans="1:14" x14ac:dyDescent="0.25">
      <c r="A278" s="5">
        <v>274</v>
      </c>
      <c r="B278" s="6"/>
      <c r="C278" s="5"/>
      <c r="D278" s="5"/>
      <c r="E278" s="7"/>
      <c r="F278" s="5"/>
      <c r="G278" s="7"/>
      <c r="H278" s="5"/>
      <c r="I278" s="6"/>
      <c r="J278" s="5"/>
      <c r="K278" s="6"/>
      <c r="L278" s="7"/>
      <c r="M278" s="8">
        <f>IF(OR(I278="",K278&lt;&gt;""),"",I278-TODAY())</f>
      </c>
      <c r="N278" s="8">
        <f>IF(E278="","",IF(K278&lt;&gt;"",IF(L278="","Preuve à joindre","Levée"),IF(I278="","À planifier",IF(M278&lt;0,"En retard","En cours"))))</f>
      </c>
    </row>
    <row r="279" spans="1:14" x14ac:dyDescent="0.25">
      <c r="A279" s="5">
        <v>275</v>
      </c>
      <c r="B279" s="6"/>
      <c r="C279" s="5"/>
      <c r="D279" s="5"/>
      <c r="E279" s="7"/>
      <c r="F279" s="5"/>
      <c r="G279" s="7"/>
      <c r="H279" s="5"/>
      <c r="I279" s="6"/>
      <c r="J279" s="5"/>
      <c r="K279" s="6"/>
      <c r="L279" s="7"/>
      <c r="M279" s="8">
        <f>IF(OR(I279="",K279&lt;&gt;""),"",I279-TODAY())</f>
      </c>
      <c r="N279" s="8">
        <f>IF(E279="","",IF(K279&lt;&gt;"",IF(L279="","Preuve à joindre","Levée"),IF(I279="","À planifier",IF(M279&lt;0,"En retard","En cours"))))</f>
      </c>
    </row>
    <row r="280" spans="1:14" x14ac:dyDescent="0.25">
      <c r="A280" s="5">
        <v>276</v>
      </c>
      <c r="B280" s="6"/>
      <c r="C280" s="5"/>
      <c r="D280" s="5"/>
      <c r="E280" s="7"/>
      <c r="F280" s="5"/>
      <c r="G280" s="7"/>
      <c r="H280" s="5"/>
      <c r="I280" s="6"/>
      <c r="J280" s="5"/>
      <c r="K280" s="6"/>
      <c r="L280" s="7"/>
      <c r="M280" s="8">
        <f>IF(OR(I280="",K280&lt;&gt;""),"",I280-TODAY())</f>
      </c>
      <c r="N280" s="8">
        <f>IF(E280="","",IF(K280&lt;&gt;"",IF(L280="","Preuve à joindre","Levée"),IF(I280="","À planifier",IF(M280&lt;0,"En retard","En cours"))))</f>
      </c>
    </row>
    <row r="281" spans="1:14" x14ac:dyDescent="0.25">
      <c r="A281" s="5">
        <v>277</v>
      </c>
      <c r="B281" s="6"/>
      <c r="C281" s="5"/>
      <c r="D281" s="5"/>
      <c r="E281" s="7"/>
      <c r="F281" s="5"/>
      <c r="G281" s="7"/>
      <c r="H281" s="5"/>
      <c r="I281" s="6"/>
      <c r="J281" s="5"/>
      <c r="K281" s="6"/>
      <c r="L281" s="7"/>
      <c r="M281" s="8">
        <f>IF(OR(I281="",K281&lt;&gt;""),"",I281-TODAY())</f>
      </c>
      <c r="N281" s="8">
        <f>IF(E281="","",IF(K281&lt;&gt;"",IF(L281="","Preuve à joindre","Levée"),IF(I281="","À planifier",IF(M281&lt;0,"En retard","En cours"))))</f>
      </c>
    </row>
    <row r="282" spans="1:14" x14ac:dyDescent="0.25">
      <c r="A282" s="5">
        <v>278</v>
      </c>
      <c r="B282" s="6"/>
      <c r="C282" s="5"/>
      <c r="D282" s="5"/>
      <c r="E282" s="7"/>
      <c r="F282" s="5"/>
      <c r="G282" s="7"/>
      <c r="H282" s="5"/>
      <c r="I282" s="6"/>
      <c r="J282" s="5"/>
      <c r="K282" s="6"/>
      <c r="L282" s="7"/>
      <c r="M282" s="8">
        <f>IF(OR(I282="",K282&lt;&gt;""),"",I282-TODAY())</f>
      </c>
      <c r="N282" s="8">
        <f>IF(E282="","",IF(K282&lt;&gt;"",IF(L282="","Preuve à joindre","Levée"),IF(I282="","À planifier",IF(M282&lt;0,"En retard","En cours"))))</f>
      </c>
    </row>
    <row r="283" spans="1:14" x14ac:dyDescent="0.25">
      <c r="A283" s="5">
        <v>279</v>
      </c>
      <c r="B283" s="6"/>
      <c r="C283" s="5"/>
      <c r="D283" s="5"/>
      <c r="E283" s="7"/>
      <c r="F283" s="5"/>
      <c r="G283" s="7"/>
      <c r="H283" s="5"/>
      <c r="I283" s="6"/>
      <c r="J283" s="5"/>
      <c r="K283" s="6"/>
      <c r="L283" s="7"/>
      <c r="M283" s="8">
        <f>IF(OR(I283="",K283&lt;&gt;""),"",I283-TODAY())</f>
      </c>
      <c r="N283" s="8">
        <f>IF(E283="","",IF(K283&lt;&gt;"",IF(L283="","Preuve à joindre","Levée"),IF(I283="","À planifier",IF(M283&lt;0,"En retard","En cours"))))</f>
      </c>
    </row>
    <row r="284" spans="1:14" x14ac:dyDescent="0.25">
      <c r="A284" s="5">
        <v>280</v>
      </c>
      <c r="B284" s="6"/>
      <c r="C284" s="5"/>
      <c r="D284" s="5"/>
      <c r="E284" s="7"/>
      <c r="F284" s="5"/>
      <c r="G284" s="7"/>
      <c r="H284" s="5"/>
      <c r="I284" s="6"/>
      <c r="J284" s="5"/>
      <c r="K284" s="6"/>
      <c r="L284" s="7"/>
      <c r="M284" s="8">
        <f>IF(OR(I284="",K284&lt;&gt;""),"",I284-TODAY())</f>
      </c>
      <c r="N284" s="8">
        <f>IF(E284="","",IF(K284&lt;&gt;"",IF(L284="","Preuve à joindre","Levée"),IF(I284="","À planifier",IF(M284&lt;0,"En retard","En cours"))))</f>
      </c>
    </row>
    <row r="285" spans="1:14" x14ac:dyDescent="0.25">
      <c r="A285" s="5">
        <v>281</v>
      </c>
      <c r="B285" s="6"/>
      <c r="C285" s="5"/>
      <c r="D285" s="5"/>
      <c r="E285" s="7"/>
      <c r="F285" s="5"/>
      <c r="G285" s="7"/>
      <c r="H285" s="5"/>
      <c r="I285" s="6"/>
      <c r="J285" s="5"/>
      <c r="K285" s="6"/>
      <c r="L285" s="7"/>
      <c r="M285" s="8">
        <f>IF(OR(I285="",K285&lt;&gt;""),"",I285-TODAY())</f>
      </c>
      <c r="N285" s="8">
        <f>IF(E285="","",IF(K285&lt;&gt;"",IF(L285="","Preuve à joindre","Levée"),IF(I285="","À planifier",IF(M285&lt;0,"En retard","En cours"))))</f>
      </c>
    </row>
    <row r="286" spans="1:14" x14ac:dyDescent="0.25">
      <c r="A286" s="5">
        <v>282</v>
      </c>
      <c r="B286" s="6"/>
      <c r="C286" s="5"/>
      <c r="D286" s="5"/>
      <c r="E286" s="7"/>
      <c r="F286" s="5"/>
      <c r="G286" s="7"/>
      <c r="H286" s="5"/>
      <c r="I286" s="6"/>
      <c r="J286" s="5"/>
      <c r="K286" s="6"/>
      <c r="L286" s="7"/>
      <c r="M286" s="8">
        <f>IF(OR(I286="",K286&lt;&gt;""),"",I286-TODAY())</f>
      </c>
      <c r="N286" s="8">
        <f>IF(E286="","",IF(K286&lt;&gt;"",IF(L286="","Preuve à joindre","Levée"),IF(I286="","À planifier",IF(M286&lt;0,"En retard","En cours"))))</f>
      </c>
    </row>
    <row r="287" spans="1:14" x14ac:dyDescent="0.25">
      <c r="A287" s="5">
        <v>283</v>
      </c>
      <c r="B287" s="6"/>
      <c r="C287" s="5"/>
      <c r="D287" s="5"/>
      <c r="E287" s="7"/>
      <c r="F287" s="5"/>
      <c r="G287" s="7"/>
      <c r="H287" s="5"/>
      <c r="I287" s="6"/>
      <c r="J287" s="5"/>
      <c r="K287" s="6"/>
      <c r="L287" s="7"/>
      <c r="M287" s="8">
        <f>IF(OR(I287="",K287&lt;&gt;""),"",I287-TODAY())</f>
      </c>
      <c r="N287" s="8">
        <f>IF(E287="","",IF(K287&lt;&gt;"",IF(L287="","Preuve à joindre","Levée"),IF(I287="","À planifier",IF(M287&lt;0,"En retard","En cours"))))</f>
      </c>
    </row>
    <row r="288" spans="1:14" x14ac:dyDescent="0.25">
      <c r="A288" s="5">
        <v>284</v>
      </c>
      <c r="B288" s="6"/>
      <c r="C288" s="5"/>
      <c r="D288" s="5"/>
      <c r="E288" s="7"/>
      <c r="F288" s="5"/>
      <c r="G288" s="7"/>
      <c r="H288" s="5"/>
      <c r="I288" s="6"/>
      <c r="J288" s="5"/>
      <c r="K288" s="6"/>
      <c r="L288" s="7"/>
      <c r="M288" s="8">
        <f>IF(OR(I288="",K288&lt;&gt;""),"",I288-TODAY())</f>
      </c>
      <c r="N288" s="8">
        <f>IF(E288="","",IF(K288&lt;&gt;"",IF(L288="","Preuve à joindre","Levée"),IF(I288="","À planifier",IF(M288&lt;0,"En retard","En cours"))))</f>
      </c>
    </row>
    <row r="289" spans="1:14" x14ac:dyDescent="0.25">
      <c r="A289" s="5">
        <v>285</v>
      </c>
      <c r="B289" s="6"/>
      <c r="C289" s="5"/>
      <c r="D289" s="5"/>
      <c r="E289" s="7"/>
      <c r="F289" s="5"/>
      <c r="G289" s="7"/>
      <c r="H289" s="5"/>
      <c r="I289" s="6"/>
      <c r="J289" s="5"/>
      <c r="K289" s="6"/>
      <c r="L289" s="7"/>
      <c r="M289" s="8">
        <f>IF(OR(I289="",K289&lt;&gt;""),"",I289-TODAY())</f>
      </c>
      <c r="N289" s="8">
        <f>IF(E289="","",IF(K289&lt;&gt;"",IF(L289="","Preuve à joindre","Levée"),IF(I289="","À planifier",IF(M289&lt;0,"En retard","En cours"))))</f>
      </c>
    </row>
    <row r="290" spans="1:14" x14ac:dyDescent="0.25">
      <c r="A290" s="5">
        <v>286</v>
      </c>
      <c r="B290" s="6"/>
      <c r="C290" s="5"/>
      <c r="D290" s="5"/>
      <c r="E290" s="7"/>
      <c r="F290" s="5"/>
      <c r="G290" s="7"/>
      <c r="H290" s="5"/>
      <c r="I290" s="6"/>
      <c r="J290" s="5"/>
      <c r="K290" s="6"/>
      <c r="L290" s="7"/>
      <c r="M290" s="8">
        <f>IF(OR(I290="",K290&lt;&gt;""),"",I290-TODAY())</f>
      </c>
      <c r="N290" s="8">
        <f>IF(E290="","",IF(K290&lt;&gt;"",IF(L290="","Preuve à joindre","Levée"),IF(I290="","À planifier",IF(M290&lt;0,"En retard","En cours"))))</f>
      </c>
    </row>
    <row r="291" spans="1:14" x14ac:dyDescent="0.25">
      <c r="A291" s="5">
        <v>287</v>
      </c>
      <c r="B291" s="6"/>
      <c r="C291" s="5"/>
      <c r="D291" s="5"/>
      <c r="E291" s="7"/>
      <c r="F291" s="5"/>
      <c r="G291" s="7"/>
      <c r="H291" s="5"/>
      <c r="I291" s="6"/>
      <c r="J291" s="5"/>
      <c r="K291" s="6"/>
      <c r="L291" s="7"/>
      <c r="M291" s="8">
        <f>IF(OR(I291="",K291&lt;&gt;""),"",I291-TODAY())</f>
      </c>
      <c r="N291" s="8">
        <f>IF(E291="","",IF(K291&lt;&gt;"",IF(L291="","Preuve à joindre","Levée"),IF(I291="","À planifier",IF(M291&lt;0,"En retard","En cours"))))</f>
      </c>
    </row>
    <row r="292" spans="1:14" x14ac:dyDescent="0.25">
      <c r="A292" s="5">
        <v>288</v>
      </c>
      <c r="B292" s="6"/>
      <c r="C292" s="5"/>
      <c r="D292" s="5"/>
      <c r="E292" s="7"/>
      <c r="F292" s="5"/>
      <c r="G292" s="7"/>
      <c r="H292" s="5"/>
      <c r="I292" s="6"/>
      <c r="J292" s="5"/>
      <c r="K292" s="6"/>
      <c r="L292" s="7"/>
      <c r="M292" s="8">
        <f>IF(OR(I292="",K292&lt;&gt;""),"",I292-TODAY())</f>
      </c>
      <c r="N292" s="8">
        <f>IF(E292="","",IF(K292&lt;&gt;"",IF(L292="","Preuve à joindre","Levée"),IF(I292="","À planifier",IF(M292&lt;0,"En retard","En cours"))))</f>
      </c>
    </row>
    <row r="293" spans="1:14" x14ac:dyDescent="0.25">
      <c r="A293" s="5">
        <v>289</v>
      </c>
      <c r="B293" s="6"/>
      <c r="C293" s="5"/>
      <c r="D293" s="5"/>
      <c r="E293" s="7"/>
      <c r="F293" s="5"/>
      <c r="G293" s="7"/>
      <c r="H293" s="5"/>
      <c r="I293" s="6"/>
      <c r="J293" s="5"/>
      <c r="K293" s="6"/>
      <c r="L293" s="7"/>
      <c r="M293" s="8">
        <f>IF(OR(I293="",K293&lt;&gt;""),"",I293-TODAY())</f>
      </c>
      <c r="N293" s="8">
        <f>IF(E293="","",IF(K293&lt;&gt;"",IF(L293="","Preuve à joindre","Levée"),IF(I293="","À planifier",IF(M293&lt;0,"En retard","En cours"))))</f>
      </c>
    </row>
    <row r="294" spans="1:14" x14ac:dyDescent="0.25">
      <c r="A294" s="5">
        <v>290</v>
      </c>
      <c r="B294" s="6"/>
      <c r="C294" s="5"/>
      <c r="D294" s="5"/>
      <c r="E294" s="7"/>
      <c r="F294" s="5"/>
      <c r="G294" s="7"/>
      <c r="H294" s="5"/>
      <c r="I294" s="6"/>
      <c r="J294" s="5"/>
      <c r="K294" s="6"/>
      <c r="L294" s="7"/>
      <c r="M294" s="8">
        <f>IF(OR(I294="",K294&lt;&gt;""),"",I294-TODAY())</f>
      </c>
      <c r="N294" s="8">
        <f>IF(E294="","",IF(K294&lt;&gt;"",IF(L294="","Preuve à joindre","Levée"),IF(I294="","À planifier",IF(M294&lt;0,"En retard","En cours"))))</f>
      </c>
    </row>
    <row r="295" spans="1:14" x14ac:dyDescent="0.25">
      <c r="A295" s="5">
        <v>291</v>
      </c>
      <c r="B295" s="6"/>
      <c r="C295" s="5"/>
      <c r="D295" s="5"/>
      <c r="E295" s="7"/>
      <c r="F295" s="5"/>
      <c r="G295" s="7"/>
      <c r="H295" s="5"/>
      <c r="I295" s="6"/>
      <c r="J295" s="5"/>
      <c r="K295" s="6"/>
      <c r="L295" s="7"/>
      <c r="M295" s="8">
        <f>IF(OR(I295="",K295&lt;&gt;""),"",I295-TODAY())</f>
      </c>
      <c r="N295" s="8">
        <f>IF(E295="","",IF(K295&lt;&gt;"",IF(L295="","Preuve à joindre","Levée"),IF(I295="","À planifier",IF(M295&lt;0,"En retard","En cours"))))</f>
      </c>
    </row>
    <row r="296" spans="1:14" x14ac:dyDescent="0.25">
      <c r="A296" s="5">
        <v>292</v>
      </c>
      <c r="B296" s="6"/>
      <c r="C296" s="5"/>
      <c r="D296" s="5"/>
      <c r="E296" s="7"/>
      <c r="F296" s="5"/>
      <c r="G296" s="7"/>
      <c r="H296" s="5"/>
      <c r="I296" s="6"/>
      <c r="J296" s="5"/>
      <c r="K296" s="6"/>
      <c r="L296" s="7"/>
      <c r="M296" s="8">
        <f>IF(OR(I296="",K296&lt;&gt;""),"",I296-TODAY())</f>
      </c>
      <c r="N296" s="8">
        <f>IF(E296="","",IF(K296&lt;&gt;"",IF(L296="","Preuve à joindre","Levée"),IF(I296="","À planifier",IF(M296&lt;0,"En retard","En cours"))))</f>
      </c>
    </row>
    <row r="297" spans="1:14" x14ac:dyDescent="0.25">
      <c r="A297" s="5">
        <v>293</v>
      </c>
      <c r="B297" s="6"/>
      <c r="C297" s="5"/>
      <c r="D297" s="5"/>
      <c r="E297" s="7"/>
      <c r="F297" s="5"/>
      <c r="G297" s="7"/>
      <c r="H297" s="5"/>
      <c r="I297" s="6"/>
      <c r="J297" s="5"/>
      <c r="K297" s="6"/>
      <c r="L297" s="7"/>
      <c r="M297" s="8">
        <f>IF(OR(I297="",K297&lt;&gt;""),"",I297-TODAY())</f>
      </c>
      <c r="N297" s="8">
        <f>IF(E297="","",IF(K297&lt;&gt;"",IF(L297="","Preuve à joindre","Levée"),IF(I297="","À planifier",IF(M297&lt;0,"En retard","En cours"))))</f>
      </c>
    </row>
    <row r="298" spans="1:14" x14ac:dyDescent="0.25">
      <c r="A298" s="5">
        <v>294</v>
      </c>
      <c r="B298" s="6"/>
      <c r="C298" s="5"/>
      <c r="D298" s="5"/>
      <c r="E298" s="7"/>
      <c r="F298" s="5"/>
      <c r="G298" s="7"/>
      <c r="H298" s="5"/>
      <c r="I298" s="6"/>
      <c r="J298" s="5"/>
      <c r="K298" s="6"/>
      <c r="L298" s="7"/>
      <c r="M298" s="8">
        <f>IF(OR(I298="",K298&lt;&gt;""),"",I298-TODAY())</f>
      </c>
      <c r="N298" s="8">
        <f>IF(E298="","",IF(K298&lt;&gt;"",IF(L298="","Preuve à joindre","Levée"),IF(I298="","À planifier",IF(M298&lt;0,"En retard","En cours"))))</f>
      </c>
    </row>
    <row r="299" spans="1:14" x14ac:dyDescent="0.25">
      <c r="A299" s="5">
        <v>295</v>
      </c>
      <c r="B299" s="6"/>
      <c r="C299" s="5"/>
      <c r="D299" s="5"/>
      <c r="E299" s="7"/>
      <c r="F299" s="5"/>
      <c r="G299" s="7"/>
      <c r="H299" s="5"/>
      <c r="I299" s="6"/>
      <c r="J299" s="5"/>
      <c r="K299" s="6"/>
      <c r="L299" s="7"/>
      <c r="M299" s="8">
        <f>IF(OR(I299="",K299&lt;&gt;""),"",I299-TODAY())</f>
      </c>
      <c r="N299" s="8">
        <f>IF(E299="","",IF(K299&lt;&gt;"",IF(L299="","Preuve à joindre","Levée"),IF(I299="","À planifier",IF(M299&lt;0,"En retard","En cours"))))</f>
      </c>
    </row>
    <row r="300" spans="1:14" x14ac:dyDescent="0.25">
      <c r="A300" s="5">
        <v>296</v>
      </c>
      <c r="B300" s="6"/>
      <c r="C300" s="5"/>
      <c r="D300" s="5"/>
      <c r="E300" s="7"/>
      <c r="F300" s="5"/>
      <c r="G300" s="7"/>
      <c r="H300" s="5"/>
      <c r="I300" s="6"/>
      <c r="J300" s="5"/>
      <c r="K300" s="6"/>
      <c r="L300" s="7"/>
      <c r="M300" s="8">
        <f>IF(OR(I300="",K300&lt;&gt;""),"",I300-TODAY())</f>
      </c>
      <c r="N300" s="8">
        <f>IF(E300="","",IF(K300&lt;&gt;"",IF(L300="","Preuve à joindre","Levée"),IF(I300="","À planifier",IF(M300&lt;0,"En retard","En cours"))))</f>
      </c>
    </row>
    <row r="301" spans="1:14" x14ac:dyDescent="0.25">
      <c r="A301" s="5">
        <v>297</v>
      </c>
      <c r="B301" s="6"/>
      <c r="C301" s="5"/>
      <c r="D301" s="5"/>
      <c r="E301" s="7"/>
      <c r="F301" s="5"/>
      <c r="G301" s="7"/>
      <c r="H301" s="5"/>
      <c r="I301" s="6"/>
      <c r="J301" s="5"/>
      <c r="K301" s="6"/>
      <c r="L301" s="7"/>
      <c r="M301" s="8">
        <f>IF(OR(I301="",K301&lt;&gt;""),"",I301-TODAY())</f>
      </c>
      <c r="N301" s="8">
        <f>IF(E301="","",IF(K301&lt;&gt;"",IF(L301="","Preuve à joindre","Levée"),IF(I301="","À planifier",IF(M301&lt;0,"En retard","En cours"))))</f>
      </c>
    </row>
    <row r="302" spans="1:14" x14ac:dyDescent="0.25">
      <c r="A302" s="5">
        <v>298</v>
      </c>
      <c r="B302" s="6"/>
      <c r="C302" s="5"/>
      <c r="D302" s="5"/>
      <c r="E302" s="7"/>
      <c r="F302" s="5"/>
      <c r="G302" s="7"/>
      <c r="H302" s="5"/>
      <c r="I302" s="6"/>
      <c r="J302" s="5"/>
      <c r="K302" s="6"/>
      <c r="L302" s="7"/>
      <c r="M302" s="8">
        <f>IF(OR(I302="",K302&lt;&gt;""),"",I302-TODAY())</f>
      </c>
      <c r="N302" s="8">
        <f>IF(E302="","",IF(K302&lt;&gt;"",IF(L302="","Preuve à joindre","Levée"),IF(I302="","À planifier",IF(M302&lt;0,"En retard","En cours"))))</f>
      </c>
    </row>
    <row r="303" spans="1:14" x14ac:dyDescent="0.25">
      <c r="A303" s="5">
        <v>299</v>
      </c>
      <c r="B303" s="6"/>
      <c r="C303" s="5"/>
      <c r="D303" s="5"/>
      <c r="E303" s="7"/>
      <c r="F303" s="5"/>
      <c r="G303" s="7"/>
      <c r="H303" s="5"/>
      <c r="I303" s="6"/>
      <c r="J303" s="5"/>
      <c r="K303" s="6"/>
      <c r="L303" s="7"/>
      <c r="M303" s="8">
        <f>IF(OR(I303="",K303&lt;&gt;""),"",I303-TODAY())</f>
      </c>
      <c r="N303" s="8">
        <f>IF(E303="","",IF(K303&lt;&gt;"",IF(L303="","Preuve à joindre","Levée"),IF(I303="","À planifier",IF(M303&lt;0,"En retard","En cours"))))</f>
      </c>
    </row>
    <row r="304" spans="1:14" x14ac:dyDescent="0.25">
      <c r="A304" s="5">
        <v>300</v>
      </c>
      <c r="B304" s="6"/>
      <c r="C304" s="5"/>
      <c r="D304" s="5"/>
      <c r="E304" s="7"/>
      <c r="F304" s="5"/>
      <c r="G304" s="7"/>
      <c r="H304" s="5"/>
      <c r="I304" s="6"/>
      <c r="J304" s="5"/>
      <c r="K304" s="6"/>
      <c r="L304" s="7"/>
      <c r="M304" s="8">
        <f>IF(OR(I304="",K304&lt;&gt;""),"",I304-TODAY())</f>
      </c>
      <c r="N304" s="8">
        <f>IF(E304="","",IF(K304&lt;&gt;"",IF(L304="","Preuve à joindre","Levée"),IF(I304="","À planifier",IF(M304&lt;0,"En retard","En cours"))))</f>
      </c>
    </row>
  </sheetData>
  <autoFilter ref="A4:N304"/>
  <mergeCells count="2">
    <mergeCell ref="A1:N1"/>
    <mergeCell ref="A2:N2"/>
  </mergeCells>
  <conditionalFormatting sqref="N5:N304">
    <cfRule type="expression" dxfId="0" priority="1">
      <formula>$N5="En retard"</formula>
    </cfRule>
    <cfRule type="expression" dxfId="1" priority="2">
      <formula>OR($N5="À planifier",$N5="Preuve à joindre")</formula>
    </cfRule>
    <cfRule type="expression" dxfId="2" priority="3">
      <formula>$N5="Levée"</formula>
    </cfRule>
  </conditionalFormatting>
  <dataValidations count="4">
    <dataValidation type="date" operator="greaterThan" allowBlank="1" showErrorMessage="1" errorTitle="Date attendue" error="Saisissez une date, par exemple 12/03/2026." sqref="B5:B304">
      <formula1>36526</formula1>
    </dataValidation>
    <dataValidation type="list" allowBlank="1" sqref="F5:F304">
      <formula1>"Immédiat,Planifié,À surveiller"</formula1>
    </dataValidation>
    <dataValidation type="date" operator="greaterThan" allowBlank="1" showErrorMessage="1" errorTitle="Date attendue" error="Saisissez une date, par exemple 12/03/2026." sqref="I5:I304">
      <formula1>36526</formula1>
    </dataValidation>
    <dataValidation type="date" operator="greaterThan" allowBlank="1" showErrorMessage="1" errorTitle="Date attendue" error="Saisissez une date, par exemple 12/03/2026." sqref="K5:K304">
      <formula1>36526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&amp;Lmodele-vgp.fr&amp;RPage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8" customWidth="1"/>
    <col min="2" max="2" width="22" customWidth="1"/>
  </cols>
  <sheetData>
    <row r="1" spans="1:1" x14ac:dyDescent="0.25">
      <c r="A1" s="1" t="s">
        <v>16</v>
      </c>
    </row>
    <row r="2" spans="1:1" x14ac:dyDescent="0.25">
      <c r="A2" s="3">
        <f>"Situation au "&amp;TEXT(TODAY(),"dd/mm/yyyy")</f>
      </c>
    </row>
    <row r="4" ht="30" customHeight="1" spans="1:2" x14ac:dyDescent="0.25">
      <c r="A4" s="9" t="s">
        <v>17</v>
      </c>
      <c r="B4" s="10">
        <f>COUNTA('Réserves'!$E$5:$E$304)</f>
      </c>
    </row>
    <row r="5" ht="30" customHeight="1" spans="1:2" x14ac:dyDescent="0.25">
      <c r="A5" s="9" t="s">
        <v>18</v>
      </c>
      <c r="B5" s="11">
        <f>COUNTIF('Réserves'!$N$5:$N$304,"En retard")</f>
      </c>
    </row>
    <row r="6" ht="30" customHeight="1" spans="1:2" x14ac:dyDescent="0.25">
      <c r="A6" s="9" t="s">
        <v>19</v>
      </c>
      <c r="B6" s="10">
        <f>COUNTIF('Réserves'!$N$5:$N$304,"En cours")</f>
      </c>
    </row>
    <row r="7" ht="30" customHeight="1" spans="1:2" x14ac:dyDescent="0.25">
      <c r="A7" s="9" t="s">
        <v>20</v>
      </c>
      <c r="B7" s="12">
        <f>COUNTIF('Réserves'!$N$5:$N$304,"À planifier")</f>
      </c>
    </row>
    <row r="8" ht="30" customHeight="1" spans="1:2" x14ac:dyDescent="0.25">
      <c r="A8" s="9" t="s">
        <v>21</v>
      </c>
      <c r="B8" s="12">
        <f>COUNTIF('Réserves'!$N$5:$N$304,"Preuve à joindre")</f>
      </c>
    </row>
    <row r="9" ht="30" customHeight="1" spans="1:2" x14ac:dyDescent="0.25">
      <c r="A9" s="9" t="s">
        <v>22</v>
      </c>
      <c r="B9" s="13">
        <f>COUNTIF('Réserves'!$N$5:$N$304,"Levée")</f>
      </c>
    </row>
    <row r="11" spans="1:1" x14ac:dyDescent="0.25">
      <c r="A11" s="1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oddFooter>&amp;Lmodele-vgp.fr&amp;RPage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3" width="14" customWidth="1"/>
    <col min="4" max="4" width="22" customWidth="1"/>
    <col min="5" max="5" width="36" customWidth="1"/>
    <col min="6" max="6" width="13" customWidth="1"/>
    <col min="7" max="7" width="30" customWidth="1"/>
    <col min="8" max="8" width="18" customWidth="1"/>
    <col min="9" max="9" width="13" customWidth="1"/>
    <col min="10" max="10" width="18" customWidth="1"/>
    <col min="11" max="11" width="13" customWidth="1"/>
    <col min="12" max="12" width="28" customWidth="1"/>
    <col min="13" max="13" width="11" customWidth="1"/>
    <col min="14" max="14" width="1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" x14ac:dyDescent="0.25">
      <c r="A3" s="3">
        <f>"Situation au "&amp;TEXT(TODAY(),"dd/mm/yyyy")</f>
      </c>
    </row>
    <row r="4" ht="32" customHeight="1" spans="1:14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x14ac:dyDescent="0.25">
      <c r="A5" s="5">
        <v>1</v>
      </c>
      <c r="B5" s="6">
        <f>TODAY()-18</f>
      </c>
      <c r="C5" s="5" t="s">
        <v>24</v>
      </c>
      <c r="D5" s="5" t="s">
        <v>25</v>
      </c>
      <c r="E5" s="7" t="s">
        <v>26</v>
      </c>
      <c r="F5" s="5" t="s">
        <v>27</v>
      </c>
      <c r="G5" s="7" t="s">
        <v>28</v>
      </c>
      <c r="H5" s="5" t="s">
        <v>29</v>
      </c>
      <c r="I5" s="6">
        <f>TODAY()-4</f>
      </c>
      <c r="J5" s="5" t="s">
        <v>30</v>
      </c>
      <c r="K5" s="6">
        <f>TODAY()-6</f>
      </c>
      <c r="L5" s="7" t="s">
        <v>31</v>
      </c>
      <c r="M5" s="8">
        <f>IF(OR(I5="",K5&lt;&gt;""),"",I5-TODAY())</f>
      </c>
      <c r="N5" s="8">
        <f>IF(E5="","",IF(K5&lt;&gt;"",IF(L5="","Preuve à joindre","Levée"),IF(I5="","À planifier",IF(M5&lt;0,"En retard","En cours"))))</f>
      </c>
    </row>
    <row r="6" spans="1:14" x14ac:dyDescent="0.25">
      <c r="A6" s="5">
        <v>2</v>
      </c>
      <c r="B6" s="6">
        <f>TODAY()-18</f>
      </c>
      <c r="C6" s="5" t="s">
        <v>24</v>
      </c>
      <c r="D6" s="5" t="s">
        <v>25</v>
      </c>
      <c r="E6" s="7" t="s">
        <v>32</v>
      </c>
      <c r="F6" s="5" t="s">
        <v>33</v>
      </c>
      <c r="G6" s="7" t="s">
        <v>34</v>
      </c>
      <c r="H6" s="5" t="s">
        <v>29</v>
      </c>
      <c r="I6" s="6">
        <f>TODAY()+12</f>
      </c>
      <c r="J6" s="5"/>
      <c r="K6" s="6"/>
      <c r="L6" s="7"/>
      <c r="M6" s="8">
        <f>IF(OR(I6="",K6&lt;&gt;""),"",I6-TODAY())</f>
      </c>
      <c r="N6" s="8">
        <f>IF(E6="","",IF(K6&lt;&gt;"",IF(L6="","Preuve à joindre","Levée"),IF(I6="","À planifier",IF(M6&lt;0,"En retard","En cours"))))</f>
      </c>
    </row>
    <row r="7" spans="1:14" x14ac:dyDescent="0.25">
      <c r="A7" s="5">
        <v>3</v>
      </c>
      <c r="B7" s="6">
        <f>TODAY()-40</f>
      </c>
      <c r="C7" s="5" t="s">
        <v>35</v>
      </c>
      <c r="D7" s="5" t="s">
        <v>36</v>
      </c>
      <c r="E7" s="7" t="s">
        <v>37</v>
      </c>
      <c r="F7" s="5" t="s">
        <v>33</v>
      </c>
      <c r="G7" s="7" t="s">
        <v>38</v>
      </c>
      <c r="H7" s="5" t="s">
        <v>39</v>
      </c>
      <c r="I7" s="6">
        <f>TODAY()-10</f>
      </c>
      <c r="J7" s="5"/>
      <c r="K7" s="6"/>
      <c r="L7" s="7"/>
      <c r="M7" s="8">
        <f>IF(OR(I7="",K7&lt;&gt;""),"",I7-TODAY())</f>
      </c>
      <c r="N7" s="8">
        <f>IF(E7="","",IF(K7&lt;&gt;"",IF(L7="","Preuve à joindre","Levée"),IF(I7="","À planifier",IF(M7&lt;0,"En retard","En cours"))))</f>
      </c>
    </row>
    <row r="8" spans="1:14" x14ac:dyDescent="0.25">
      <c r="A8" s="5">
        <v>4</v>
      </c>
      <c r="B8" s="6"/>
      <c r="C8" s="5"/>
      <c r="D8" s="5"/>
      <c r="E8" s="7"/>
      <c r="F8" s="5"/>
      <c r="G8" s="7"/>
      <c r="H8" s="5"/>
      <c r="I8" s="6"/>
      <c r="J8" s="5"/>
      <c r="K8" s="6"/>
      <c r="L8" s="7"/>
      <c r="M8" s="8">
        <f>IF(OR(I8="",K8&lt;&gt;""),"",I8-TODAY())</f>
      </c>
      <c r="N8" s="8">
        <f>IF(E8="","",IF(K8&lt;&gt;"",IF(L8="","Preuve à joindre","Levée"),IF(I8="","À planifier",IF(M8&lt;0,"En retard","En cours"))))</f>
      </c>
    </row>
    <row r="9" spans="1:14" x14ac:dyDescent="0.25">
      <c r="A9" s="5">
        <v>5</v>
      </c>
      <c r="B9" s="6"/>
      <c r="C9" s="5"/>
      <c r="D9" s="5"/>
      <c r="E9" s="7"/>
      <c r="F9" s="5"/>
      <c r="G9" s="7"/>
      <c r="H9" s="5"/>
      <c r="I9" s="6"/>
      <c r="J9" s="5"/>
      <c r="K9" s="6"/>
      <c r="L9" s="7"/>
      <c r="M9" s="8">
        <f>IF(OR(I9="",K9&lt;&gt;""),"",I9-TODAY())</f>
      </c>
      <c r="N9" s="8">
        <f>IF(E9="","",IF(K9&lt;&gt;"",IF(L9="","Preuve à joindre","Levée"),IF(I9="","À planifier",IF(M9&lt;0,"En retard","En cours"))))</f>
      </c>
    </row>
    <row r="10" spans="1:14" x14ac:dyDescent="0.25">
      <c r="A10" s="5">
        <v>6</v>
      </c>
      <c r="B10" s="6"/>
      <c r="C10" s="5"/>
      <c r="D10" s="5"/>
      <c r="E10" s="7"/>
      <c r="F10" s="5"/>
      <c r="G10" s="7"/>
      <c r="H10" s="5"/>
      <c r="I10" s="6"/>
      <c r="J10" s="5"/>
      <c r="K10" s="6"/>
      <c r="L10" s="7"/>
      <c r="M10" s="8">
        <f>IF(OR(I10="",K10&lt;&gt;""),"",I10-TODAY())</f>
      </c>
      <c r="N10" s="8">
        <f>IF(E10="","",IF(K10&lt;&gt;"",IF(L10="","Preuve à joindre","Levée"),IF(I10="","À planifier",IF(M10&lt;0,"En retard","En cours"))))</f>
      </c>
    </row>
    <row r="11" spans="1:14" x14ac:dyDescent="0.25">
      <c r="A11" s="5">
        <v>7</v>
      </c>
      <c r="B11" s="6"/>
      <c r="C11" s="5"/>
      <c r="D11" s="5"/>
      <c r="E11" s="7"/>
      <c r="F11" s="5"/>
      <c r="G11" s="7"/>
      <c r="H11" s="5"/>
      <c r="I11" s="6"/>
      <c r="J11" s="5"/>
      <c r="K11" s="6"/>
      <c r="L11" s="7"/>
      <c r="M11" s="8">
        <f>IF(OR(I11="",K11&lt;&gt;""),"",I11-TODAY())</f>
      </c>
      <c r="N11" s="8">
        <f>IF(E11="","",IF(K11&lt;&gt;"",IF(L11="","Preuve à joindre","Levée"),IF(I11="","À planifier",IF(M11&lt;0,"En retard","En cours"))))</f>
      </c>
    </row>
    <row r="12" spans="1:14" x14ac:dyDescent="0.25">
      <c r="A12" s="5">
        <v>8</v>
      </c>
      <c r="B12" s="6"/>
      <c r="C12" s="5"/>
      <c r="D12" s="5"/>
      <c r="E12" s="7"/>
      <c r="F12" s="5"/>
      <c r="G12" s="7"/>
      <c r="H12" s="5"/>
      <c r="I12" s="6"/>
      <c r="J12" s="5"/>
      <c r="K12" s="6"/>
      <c r="L12" s="7"/>
      <c r="M12" s="8">
        <f>IF(OR(I12="",K12&lt;&gt;""),"",I12-TODAY())</f>
      </c>
      <c r="N12" s="8">
        <f>IF(E12="","",IF(K12&lt;&gt;"",IF(L12="","Preuve à joindre","Levée"),IF(I12="","À planifier",IF(M12&lt;0,"En retard","En cours"))))</f>
      </c>
    </row>
    <row r="13" spans="1:14" x14ac:dyDescent="0.25">
      <c r="A13" s="5">
        <v>9</v>
      </c>
      <c r="B13" s="6"/>
      <c r="C13" s="5"/>
      <c r="D13" s="5"/>
      <c r="E13" s="7"/>
      <c r="F13" s="5"/>
      <c r="G13" s="7"/>
      <c r="H13" s="5"/>
      <c r="I13" s="6"/>
      <c r="J13" s="5"/>
      <c r="K13" s="6"/>
      <c r="L13" s="7"/>
      <c r="M13" s="8">
        <f>IF(OR(I13="",K13&lt;&gt;""),"",I13-TODAY())</f>
      </c>
      <c r="N13" s="8">
        <f>IF(E13="","",IF(K13&lt;&gt;"",IF(L13="","Preuve à joindre","Levée"),IF(I13="","À planifier",IF(M13&lt;0,"En retard","En cours"))))</f>
      </c>
    </row>
    <row r="14" spans="1:14" x14ac:dyDescent="0.25">
      <c r="A14" s="5">
        <v>10</v>
      </c>
      <c r="B14" s="6"/>
      <c r="C14" s="5"/>
      <c r="D14" s="5"/>
      <c r="E14" s="7"/>
      <c r="F14" s="5"/>
      <c r="G14" s="7"/>
      <c r="H14" s="5"/>
      <c r="I14" s="6"/>
      <c r="J14" s="5"/>
      <c r="K14" s="6"/>
      <c r="L14" s="7"/>
      <c r="M14" s="8">
        <f>IF(OR(I14="",K14&lt;&gt;""),"",I14-TODAY())</f>
      </c>
      <c r="N14" s="8">
        <f>IF(E14="","",IF(K14&lt;&gt;"",IF(L14="","Preuve à joindre","Levée"),IF(I14="","À planifier",IF(M14&lt;0,"En retard","En cours"))))</f>
      </c>
    </row>
    <row r="15" spans="1:14" x14ac:dyDescent="0.25">
      <c r="A15" s="5">
        <v>11</v>
      </c>
      <c r="B15" s="6"/>
      <c r="C15" s="5"/>
      <c r="D15" s="5"/>
      <c r="E15" s="7"/>
      <c r="F15" s="5"/>
      <c r="G15" s="7"/>
      <c r="H15" s="5"/>
      <c r="I15" s="6"/>
      <c r="J15" s="5"/>
      <c r="K15" s="6"/>
      <c r="L15" s="7"/>
      <c r="M15" s="8">
        <f>IF(OR(I15="",K15&lt;&gt;""),"",I15-TODAY())</f>
      </c>
      <c r="N15" s="8">
        <f>IF(E15="","",IF(K15&lt;&gt;"",IF(L15="","Preuve à joindre","Levée"),IF(I15="","À planifier",IF(M15&lt;0,"En retard","En cours"))))</f>
      </c>
    </row>
    <row r="16" spans="1:14" x14ac:dyDescent="0.25">
      <c r="A16" s="5">
        <v>12</v>
      </c>
      <c r="B16" s="6"/>
      <c r="C16" s="5"/>
      <c r="D16" s="5"/>
      <c r="E16" s="7"/>
      <c r="F16" s="5"/>
      <c r="G16" s="7"/>
      <c r="H16" s="5"/>
      <c r="I16" s="6"/>
      <c r="J16" s="5"/>
      <c r="K16" s="6"/>
      <c r="L16" s="7"/>
      <c r="M16" s="8">
        <f>IF(OR(I16="",K16&lt;&gt;""),"",I16-TODAY())</f>
      </c>
      <c r="N16" s="8">
        <f>IF(E16="","",IF(K16&lt;&gt;"",IF(L16="","Preuve à joindre","Levée"),IF(I16="","À planifier",IF(M16&lt;0,"En retard","En cours"))))</f>
      </c>
    </row>
    <row r="17" spans="1:14" x14ac:dyDescent="0.25">
      <c r="A17" s="5">
        <v>13</v>
      </c>
      <c r="B17" s="6"/>
      <c r="C17" s="5"/>
      <c r="D17" s="5"/>
      <c r="E17" s="7"/>
      <c r="F17" s="5"/>
      <c r="G17" s="7"/>
      <c r="H17" s="5"/>
      <c r="I17" s="6"/>
      <c r="J17" s="5"/>
      <c r="K17" s="6"/>
      <c r="L17" s="7"/>
      <c r="M17" s="8">
        <f>IF(OR(I17="",K17&lt;&gt;""),"",I17-TODAY())</f>
      </c>
      <c r="N17" s="8">
        <f>IF(E17="","",IF(K17&lt;&gt;"",IF(L17="","Preuve à joindre","Levée"),IF(I17="","À planifier",IF(M17&lt;0,"En retard","En cours"))))</f>
      </c>
    </row>
    <row r="18" spans="1:14" x14ac:dyDescent="0.25">
      <c r="A18" s="5">
        <v>14</v>
      </c>
      <c r="B18" s="6"/>
      <c r="C18" s="5"/>
      <c r="D18" s="5"/>
      <c r="E18" s="7"/>
      <c r="F18" s="5"/>
      <c r="G18" s="7"/>
      <c r="H18" s="5"/>
      <c r="I18" s="6"/>
      <c r="J18" s="5"/>
      <c r="K18" s="6"/>
      <c r="L18" s="7"/>
      <c r="M18" s="8">
        <f>IF(OR(I18="",K18&lt;&gt;""),"",I18-TODAY())</f>
      </c>
      <c r="N18" s="8">
        <f>IF(E18="","",IF(K18&lt;&gt;"",IF(L18="","Preuve à joindre","Levée"),IF(I18="","À planifier",IF(M18&lt;0,"En retard","En cours"))))</f>
      </c>
    </row>
    <row r="19" spans="1:14" x14ac:dyDescent="0.25">
      <c r="A19" s="5">
        <v>15</v>
      </c>
      <c r="B19" s="6"/>
      <c r="C19" s="5"/>
      <c r="D19" s="5"/>
      <c r="E19" s="7"/>
      <c r="F19" s="5"/>
      <c r="G19" s="7"/>
      <c r="H19" s="5"/>
      <c r="I19" s="6"/>
      <c r="J19" s="5"/>
      <c r="K19" s="6"/>
      <c r="L19" s="7"/>
      <c r="M19" s="8">
        <f>IF(OR(I19="",K19&lt;&gt;""),"",I19-TODAY())</f>
      </c>
      <c r="N19" s="8">
        <f>IF(E19="","",IF(K19&lt;&gt;"",IF(L19="","Preuve à joindre","Levée"),IF(I19="","À planifier",IF(M19&lt;0,"En retard","En cours"))))</f>
      </c>
    </row>
    <row r="20" spans="1:14" x14ac:dyDescent="0.25">
      <c r="A20" s="5">
        <v>16</v>
      </c>
      <c r="B20" s="6"/>
      <c r="C20" s="5"/>
      <c r="D20" s="5"/>
      <c r="E20" s="7"/>
      <c r="F20" s="5"/>
      <c r="G20" s="7"/>
      <c r="H20" s="5"/>
      <c r="I20" s="6"/>
      <c r="J20" s="5"/>
      <c r="K20" s="6"/>
      <c r="L20" s="7"/>
      <c r="M20" s="8">
        <f>IF(OR(I20="",K20&lt;&gt;""),"",I20-TODAY())</f>
      </c>
      <c r="N20" s="8">
        <f>IF(E20="","",IF(K20&lt;&gt;"",IF(L20="","Preuve à joindre","Levée"),IF(I20="","À planifier",IF(M20&lt;0,"En retard","En cours"))))</f>
      </c>
    </row>
    <row r="21" spans="1:14" x14ac:dyDescent="0.25">
      <c r="A21" s="5">
        <v>17</v>
      </c>
      <c r="B21" s="6"/>
      <c r="C21" s="5"/>
      <c r="D21" s="5"/>
      <c r="E21" s="7"/>
      <c r="F21" s="5"/>
      <c r="G21" s="7"/>
      <c r="H21" s="5"/>
      <c r="I21" s="6"/>
      <c r="J21" s="5"/>
      <c r="K21" s="6"/>
      <c r="L21" s="7"/>
      <c r="M21" s="8">
        <f>IF(OR(I21="",K21&lt;&gt;""),"",I21-TODAY())</f>
      </c>
      <c r="N21" s="8">
        <f>IF(E21="","",IF(K21&lt;&gt;"",IF(L21="","Preuve à joindre","Levée"),IF(I21="","À planifier",IF(M21&lt;0,"En retard","En cours"))))</f>
      </c>
    </row>
    <row r="22" spans="1:14" x14ac:dyDescent="0.25">
      <c r="A22" s="5">
        <v>18</v>
      </c>
      <c r="B22" s="6"/>
      <c r="C22" s="5"/>
      <c r="D22" s="5"/>
      <c r="E22" s="7"/>
      <c r="F22" s="5"/>
      <c r="G22" s="7"/>
      <c r="H22" s="5"/>
      <c r="I22" s="6"/>
      <c r="J22" s="5"/>
      <c r="K22" s="6"/>
      <c r="L22" s="7"/>
      <c r="M22" s="8">
        <f>IF(OR(I22="",K22&lt;&gt;""),"",I22-TODAY())</f>
      </c>
      <c r="N22" s="8">
        <f>IF(E22="","",IF(K22&lt;&gt;"",IF(L22="","Preuve à joindre","Levée"),IF(I22="","À planifier",IF(M22&lt;0,"En retard","En cours"))))</f>
      </c>
    </row>
    <row r="23" spans="1:14" x14ac:dyDescent="0.25">
      <c r="A23" s="5">
        <v>19</v>
      </c>
      <c r="B23" s="6"/>
      <c r="C23" s="5"/>
      <c r="D23" s="5"/>
      <c r="E23" s="7"/>
      <c r="F23" s="5"/>
      <c r="G23" s="7"/>
      <c r="H23" s="5"/>
      <c r="I23" s="6"/>
      <c r="J23" s="5"/>
      <c r="K23" s="6"/>
      <c r="L23" s="7"/>
      <c r="M23" s="8">
        <f>IF(OR(I23="",K23&lt;&gt;""),"",I23-TODAY())</f>
      </c>
      <c r="N23" s="8">
        <f>IF(E23="","",IF(K23&lt;&gt;"",IF(L23="","Preuve à joindre","Levée"),IF(I23="","À planifier",IF(M23&lt;0,"En retard","En cours"))))</f>
      </c>
    </row>
    <row r="24" spans="1:14" x14ac:dyDescent="0.25">
      <c r="A24" s="5">
        <v>20</v>
      </c>
      <c r="B24" s="6"/>
      <c r="C24" s="5"/>
      <c r="D24" s="5"/>
      <c r="E24" s="7"/>
      <c r="F24" s="5"/>
      <c r="G24" s="7"/>
      <c r="H24" s="5"/>
      <c r="I24" s="6"/>
      <c r="J24" s="5"/>
      <c r="K24" s="6"/>
      <c r="L24" s="7"/>
      <c r="M24" s="8">
        <f>IF(OR(I24="",K24&lt;&gt;""),"",I24-TODAY())</f>
      </c>
      <c r="N24" s="8">
        <f>IF(E24="","",IF(K24&lt;&gt;"",IF(L24="","Preuve à joindre","Levée"),IF(I24="","À planifier",IF(M24&lt;0,"En retard","En cours"))))</f>
      </c>
    </row>
    <row r="25" spans="1:14" x14ac:dyDescent="0.25">
      <c r="A25" s="5">
        <v>21</v>
      </c>
      <c r="B25" s="6"/>
      <c r="C25" s="5"/>
      <c r="D25" s="5"/>
      <c r="E25" s="7"/>
      <c r="F25" s="5"/>
      <c r="G25" s="7"/>
      <c r="H25" s="5"/>
      <c r="I25" s="6"/>
      <c r="J25" s="5"/>
      <c r="K25" s="6"/>
      <c r="L25" s="7"/>
      <c r="M25" s="8">
        <f>IF(OR(I25="",K25&lt;&gt;""),"",I25-TODAY())</f>
      </c>
      <c r="N25" s="8">
        <f>IF(E25="","",IF(K25&lt;&gt;"",IF(L25="","Preuve à joindre","Levée"),IF(I25="","À planifier",IF(M25&lt;0,"En retard","En cours"))))</f>
      </c>
    </row>
    <row r="26" spans="1:14" x14ac:dyDescent="0.25">
      <c r="A26" s="5">
        <v>22</v>
      </c>
      <c r="B26" s="6"/>
      <c r="C26" s="5"/>
      <c r="D26" s="5"/>
      <c r="E26" s="7"/>
      <c r="F26" s="5"/>
      <c r="G26" s="7"/>
      <c r="H26" s="5"/>
      <c r="I26" s="6"/>
      <c r="J26" s="5"/>
      <c r="K26" s="6"/>
      <c r="L26" s="7"/>
      <c r="M26" s="8">
        <f>IF(OR(I26="",K26&lt;&gt;""),"",I26-TODAY())</f>
      </c>
      <c r="N26" s="8">
        <f>IF(E26="","",IF(K26&lt;&gt;"",IF(L26="","Preuve à joindre","Levée"),IF(I26="","À planifier",IF(M26&lt;0,"En retard","En cours"))))</f>
      </c>
    </row>
    <row r="27" spans="1:14" x14ac:dyDescent="0.25">
      <c r="A27" s="5">
        <v>23</v>
      </c>
      <c r="B27" s="6"/>
      <c r="C27" s="5"/>
      <c r="D27" s="5"/>
      <c r="E27" s="7"/>
      <c r="F27" s="5"/>
      <c r="G27" s="7"/>
      <c r="H27" s="5"/>
      <c r="I27" s="6"/>
      <c r="J27" s="5"/>
      <c r="K27" s="6"/>
      <c r="L27" s="7"/>
      <c r="M27" s="8">
        <f>IF(OR(I27="",K27&lt;&gt;""),"",I27-TODAY())</f>
      </c>
      <c r="N27" s="8">
        <f>IF(E27="","",IF(K27&lt;&gt;"",IF(L27="","Preuve à joindre","Levée"),IF(I27="","À planifier",IF(M27&lt;0,"En retard","En cours"))))</f>
      </c>
    </row>
    <row r="28" spans="1:14" x14ac:dyDescent="0.25">
      <c r="A28" s="5">
        <v>24</v>
      </c>
      <c r="B28" s="6"/>
      <c r="C28" s="5"/>
      <c r="D28" s="5"/>
      <c r="E28" s="7"/>
      <c r="F28" s="5"/>
      <c r="G28" s="7"/>
      <c r="H28" s="5"/>
      <c r="I28" s="6"/>
      <c r="J28" s="5"/>
      <c r="K28" s="6"/>
      <c r="L28" s="7"/>
      <c r="M28" s="8">
        <f>IF(OR(I28="",K28&lt;&gt;""),"",I28-TODAY())</f>
      </c>
      <c r="N28" s="8">
        <f>IF(E28="","",IF(K28&lt;&gt;"",IF(L28="","Preuve à joindre","Levée"),IF(I28="","À planifier",IF(M28&lt;0,"En retard","En cours"))))</f>
      </c>
    </row>
    <row r="29" spans="1:14" x14ac:dyDescent="0.25">
      <c r="A29" s="5">
        <v>25</v>
      </c>
      <c r="B29" s="6"/>
      <c r="C29" s="5"/>
      <c r="D29" s="5"/>
      <c r="E29" s="7"/>
      <c r="F29" s="5"/>
      <c r="G29" s="7"/>
      <c r="H29" s="5"/>
      <c r="I29" s="6"/>
      <c r="J29" s="5"/>
      <c r="K29" s="6"/>
      <c r="L29" s="7"/>
      <c r="M29" s="8">
        <f>IF(OR(I29="",K29&lt;&gt;""),"",I29-TODAY())</f>
      </c>
      <c r="N29" s="8">
        <f>IF(E29="","",IF(K29&lt;&gt;"",IF(L29="","Preuve à joindre","Levée"),IF(I29="","À planifier",IF(M29&lt;0,"En retard","En cours"))))</f>
      </c>
    </row>
    <row r="30" spans="1:14" x14ac:dyDescent="0.25">
      <c r="A30" s="5">
        <v>26</v>
      </c>
      <c r="B30" s="6"/>
      <c r="C30" s="5"/>
      <c r="D30" s="5"/>
      <c r="E30" s="7"/>
      <c r="F30" s="5"/>
      <c r="G30" s="7"/>
      <c r="H30" s="5"/>
      <c r="I30" s="6"/>
      <c r="J30" s="5"/>
      <c r="K30" s="6"/>
      <c r="L30" s="7"/>
      <c r="M30" s="8">
        <f>IF(OR(I30="",K30&lt;&gt;""),"",I30-TODAY())</f>
      </c>
      <c r="N30" s="8">
        <f>IF(E30="","",IF(K30&lt;&gt;"",IF(L30="","Preuve à joindre","Levée"),IF(I30="","À planifier",IF(M30&lt;0,"En retard","En cours"))))</f>
      </c>
    </row>
    <row r="31" spans="1:14" x14ac:dyDescent="0.25">
      <c r="A31" s="5">
        <v>27</v>
      </c>
      <c r="B31" s="6"/>
      <c r="C31" s="5"/>
      <c r="D31" s="5"/>
      <c r="E31" s="7"/>
      <c r="F31" s="5"/>
      <c r="G31" s="7"/>
      <c r="H31" s="5"/>
      <c r="I31" s="6"/>
      <c r="J31" s="5"/>
      <c r="K31" s="6"/>
      <c r="L31" s="7"/>
      <c r="M31" s="8">
        <f>IF(OR(I31="",K31&lt;&gt;""),"",I31-TODAY())</f>
      </c>
      <c r="N31" s="8">
        <f>IF(E31="","",IF(K31&lt;&gt;"",IF(L31="","Preuve à joindre","Levée"),IF(I31="","À planifier",IF(M31&lt;0,"En retard","En cours"))))</f>
      </c>
    </row>
    <row r="32" spans="1:14" x14ac:dyDescent="0.25">
      <c r="A32" s="5">
        <v>28</v>
      </c>
      <c r="B32" s="6"/>
      <c r="C32" s="5"/>
      <c r="D32" s="5"/>
      <c r="E32" s="7"/>
      <c r="F32" s="5"/>
      <c r="G32" s="7"/>
      <c r="H32" s="5"/>
      <c r="I32" s="6"/>
      <c r="J32" s="5"/>
      <c r="K32" s="6"/>
      <c r="L32" s="7"/>
      <c r="M32" s="8">
        <f>IF(OR(I32="",K32&lt;&gt;""),"",I32-TODAY())</f>
      </c>
      <c r="N32" s="8">
        <f>IF(E32="","",IF(K32&lt;&gt;"",IF(L32="","Preuve à joindre","Levée"),IF(I32="","À planifier",IF(M32&lt;0,"En retard","En cours"))))</f>
      </c>
    </row>
    <row r="33" spans="1:14" x14ac:dyDescent="0.25">
      <c r="A33" s="5">
        <v>29</v>
      </c>
      <c r="B33" s="6"/>
      <c r="C33" s="5"/>
      <c r="D33" s="5"/>
      <c r="E33" s="7"/>
      <c r="F33" s="5"/>
      <c r="G33" s="7"/>
      <c r="H33" s="5"/>
      <c r="I33" s="6"/>
      <c r="J33" s="5"/>
      <c r="K33" s="6"/>
      <c r="L33" s="7"/>
      <c r="M33" s="8">
        <f>IF(OR(I33="",K33&lt;&gt;""),"",I33-TODAY())</f>
      </c>
      <c r="N33" s="8">
        <f>IF(E33="","",IF(K33&lt;&gt;"",IF(L33="","Preuve à joindre","Levée"),IF(I33="","À planifier",IF(M33&lt;0,"En retard","En cours"))))</f>
      </c>
    </row>
    <row r="34" spans="1:14" x14ac:dyDescent="0.25">
      <c r="A34" s="5">
        <v>30</v>
      </c>
      <c r="B34" s="6"/>
      <c r="C34" s="5"/>
      <c r="D34" s="5"/>
      <c r="E34" s="7"/>
      <c r="F34" s="5"/>
      <c r="G34" s="7"/>
      <c r="H34" s="5"/>
      <c r="I34" s="6"/>
      <c r="J34" s="5"/>
      <c r="K34" s="6"/>
      <c r="L34" s="7"/>
      <c r="M34" s="8">
        <f>IF(OR(I34="",K34&lt;&gt;""),"",I34-TODAY())</f>
      </c>
      <c r="N34" s="8">
        <f>IF(E34="","",IF(K34&lt;&gt;"",IF(L34="","Preuve à joindre","Levée"),IF(I34="","À planifier",IF(M34&lt;0,"En retard","En cours"))))</f>
      </c>
    </row>
    <row r="35" spans="1:14" x14ac:dyDescent="0.25">
      <c r="A35" s="5">
        <v>31</v>
      </c>
      <c r="B35" s="6"/>
      <c r="C35" s="5"/>
      <c r="D35" s="5"/>
      <c r="E35" s="7"/>
      <c r="F35" s="5"/>
      <c r="G35" s="7"/>
      <c r="H35" s="5"/>
      <c r="I35" s="6"/>
      <c r="J35" s="5"/>
      <c r="K35" s="6"/>
      <c r="L35" s="7"/>
      <c r="M35" s="8">
        <f>IF(OR(I35="",K35&lt;&gt;""),"",I35-TODAY())</f>
      </c>
      <c r="N35" s="8">
        <f>IF(E35="","",IF(K35&lt;&gt;"",IF(L35="","Preuve à joindre","Levée"),IF(I35="","À planifier",IF(M35&lt;0,"En retard","En cours"))))</f>
      </c>
    </row>
    <row r="36" spans="1:14" x14ac:dyDescent="0.25">
      <c r="A36" s="5">
        <v>32</v>
      </c>
      <c r="B36" s="6"/>
      <c r="C36" s="5"/>
      <c r="D36" s="5"/>
      <c r="E36" s="7"/>
      <c r="F36" s="5"/>
      <c r="G36" s="7"/>
      <c r="H36" s="5"/>
      <c r="I36" s="6"/>
      <c r="J36" s="5"/>
      <c r="K36" s="6"/>
      <c r="L36" s="7"/>
      <c r="M36" s="8">
        <f>IF(OR(I36="",K36&lt;&gt;""),"",I36-TODAY())</f>
      </c>
      <c r="N36" s="8">
        <f>IF(E36="","",IF(K36&lt;&gt;"",IF(L36="","Preuve à joindre","Levée"),IF(I36="","À planifier",IF(M36&lt;0,"En retard","En cours"))))</f>
      </c>
    </row>
    <row r="37" spans="1:14" x14ac:dyDescent="0.25">
      <c r="A37" s="5">
        <v>33</v>
      </c>
      <c r="B37" s="6"/>
      <c r="C37" s="5"/>
      <c r="D37" s="5"/>
      <c r="E37" s="7"/>
      <c r="F37" s="5"/>
      <c r="G37" s="7"/>
      <c r="H37" s="5"/>
      <c r="I37" s="6"/>
      <c r="J37" s="5"/>
      <c r="K37" s="6"/>
      <c r="L37" s="7"/>
      <c r="M37" s="8">
        <f>IF(OR(I37="",K37&lt;&gt;""),"",I37-TODAY())</f>
      </c>
      <c r="N37" s="8">
        <f>IF(E37="","",IF(K37&lt;&gt;"",IF(L37="","Preuve à joindre","Levée"),IF(I37="","À planifier",IF(M37&lt;0,"En retard","En cours"))))</f>
      </c>
    </row>
    <row r="38" spans="1:14" x14ac:dyDescent="0.25">
      <c r="A38" s="5">
        <v>34</v>
      </c>
      <c r="B38" s="6"/>
      <c r="C38" s="5"/>
      <c r="D38" s="5"/>
      <c r="E38" s="7"/>
      <c r="F38" s="5"/>
      <c r="G38" s="7"/>
      <c r="H38" s="5"/>
      <c r="I38" s="6"/>
      <c r="J38" s="5"/>
      <c r="K38" s="6"/>
      <c r="L38" s="7"/>
      <c r="M38" s="8">
        <f>IF(OR(I38="",K38&lt;&gt;""),"",I38-TODAY())</f>
      </c>
      <c r="N38" s="8">
        <f>IF(E38="","",IF(K38&lt;&gt;"",IF(L38="","Preuve à joindre","Levée"),IF(I38="","À planifier",IF(M38&lt;0,"En retard","En cours"))))</f>
      </c>
    </row>
    <row r="39" spans="1:14" x14ac:dyDescent="0.25">
      <c r="A39" s="5">
        <v>35</v>
      </c>
      <c r="B39" s="6"/>
      <c r="C39" s="5"/>
      <c r="D39" s="5"/>
      <c r="E39" s="7"/>
      <c r="F39" s="5"/>
      <c r="G39" s="7"/>
      <c r="H39" s="5"/>
      <c r="I39" s="6"/>
      <c r="J39" s="5"/>
      <c r="K39" s="6"/>
      <c r="L39" s="7"/>
      <c r="M39" s="8">
        <f>IF(OR(I39="",K39&lt;&gt;""),"",I39-TODAY())</f>
      </c>
      <c r="N39" s="8">
        <f>IF(E39="","",IF(K39&lt;&gt;"",IF(L39="","Preuve à joindre","Levée"),IF(I39="","À planifier",IF(M39&lt;0,"En retard","En cours"))))</f>
      </c>
    </row>
    <row r="40" spans="1:14" x14ac:dyDescent="0.25">
      <c r="A40" s="5">
        <v>36</v>
      </c>
      <c r="B40" s="6"/>
      <c r="C40" s="5"/>
      <c r="D40" s="5"/>
      <c r="E40" s="7"/>
      <c r="F40" s="5"/>
      <c r="G40" s="7"/>
      <c r="H40" s="5"/>
      <c r="I40" s="6"/>
      <c r="J40" s="5"/>
      <c r="K40" s="6"/>
      <c r="L40" s="7"/>
      <c r="M40" s="8">
        <f>IF(OR(I40="",K40&lt;&gt;""),"",I40-TODAY())</f>
      </c>
      <c r="N40" s="8">
        <f>IF(E40="","",IF(K40&lt;&gt;"",IF(L40="","Preuve à joindre","Levée"),IF(I40="","À planifier",IF(M40&lt;0,"En retard","En cours"))))</f>
      </c>
    </row>
    <row r="41" spans="1:14" x14ac:dyDescent="0.25">
      <c r="A41" s="5">
        <v>37</v>
      </c>
      <c r="B41" s="6"/>
      <c r="C41" s="5"/>
      <c r="D41" s="5"/>
      <c r="E41" s="7"/>
      <c r="F41" s="5"/>
      <c r="G41" s="7"/>
      <c r="H41" s="5"/>
      <c r="I41" s="6"/>
      <c r="J41" s="5"/>
      <c r="K41" s="6"/>
      <c r="L41" s="7"/>
      <c r="M41" s="8">
        <f>IF(OR(I41="",K41&lt;&gt;""),"",I41-TODAY())</f>
      </c>
      <c r="N41" s="8">
        <f>IF(E41="","",IF(K41&lt;&gt;"",IF(L41="","Preuve à joindre","Levée"),IF(I41="","À planifier",IF(M41&lt;0,"En retard","En cours"))))</f>
      </c>
    </row>
    <row r="42" spans="1:14" x14ac:dyDescent="0.25">
      <c r="A42" s="5">
        <v>38</v>
      </c>
      <c r="B42" s="6"/>
      <c r="C42" s="5"/>
      <c r="D42" s="5"/>
      <c r="E42" s="7"/>
      <c r="F42" s="5"/>
      <c r="G42" s="7"/>
      <c r="H42" s="5"/>
      <c r="I42" s="6"/>
      <c r="J42" s="5"/>
      <c r="K42" s="6"/>
      <c r="L42" s="7"/>
      <c r="M42" s="8">
        <f>IF(OR(I42="",K42&lt;&gt;""),"",I42-TODAY())</f>
      </c>
      <c r="N42" s="8">
        <f>IF(E42="","",IF(K42&lt;&gt;"",IF(L42="","Preuve à joindre","Levée"),IF(I42="","À planifier",IF(M42&lt;0,"En retard","En cours"))))</f>
      </c>
    </row>
    <row r="43" spans="1:14" x14ac:dyDescent="0.25">
      <c r="A43" s="5">
        <v>39</v>
      </c>
      <c r="B43" s="6"/>
      <c r="C43" s="5"/>
      <c r="D43" s="5"/>
      <c r="E43" s="7"/>
      <c r="F43" s="5"/>
      <c r="G43" s="7"/>
      <c r="H43" s="5"/>
      <c r="I43" s="6"/>
      <c r="J43" s="5"/>
      <c r="K43" s="6"/>
      <c r="L43" s="7"/>
      <c r="M43" s="8">
        <f>IF(OR(I43="",K43&lt;&gt;""),"",I43-TODAY())</f>
      </c>
      <c r="N43" s="8">
        <f>IF(E43="","",IF(K43&lt;&gt;"",IF(L43="","Preuve à joindre","Levée"),IF(I43="","À planifier",IF(M43&lt;0,"En retard","En cours"))))</f>
      </c>
    </row>
    <row r="44" spans="1:14" x14ac:dyDescent="0.25">
      <c r="A44" s="5">
        <v>40</v>
      </c>
      <c r="B44" s="6"/>
      <c r="C44" s="5"/>
      <c r="D44" s="5"/>
      <c r="E44" s="7"/>
      <c r="F44" s="5"/>
      <c r="G44" s="7"/>
      <c r="H44" s="5"/>
      <c r="I44" s="6"/>
      <c r="J44" s="5"/>
      <c r="K44" s="6"/>
      <c r="L44" s="7"/>
      <c r="M44" s="8">
        <f>IF(OR(I44="",K44&lt;&gt;""),"",I44-TODAY())</f>
      </c>
      <c r="N44" s="8">
        <f>IF(E44="","",IF(K44&lt;&gt;"",IF(L44="","Preuve à joindre","Levée"),IF(I44="","À planifier",IF(M44&lt;0,"En retard","En cours"))))</f>
      </c>
    </row>
    <row r="45" spans="1:14" x14ac:dyDescent="0.25">
      <c r="A45" s="5">
        <v>41</v>
      </c>
      <c r="B45" s="6"/>
      <c r="C45" s="5"/>
      <c r="D45" s="5"/>
      <c r="E45" s="7"/>
      <c r="F45" s="5"/>
      <c r="G45" s="7"/>
      <c r="H45" s="5"/>
      <c r="I45" s="6"/>
      <c r="J45" s="5"/>
      <c r="K45" s="6"/>
      <c r="L45" s="7"/>
      <c r="M45" s="8">
        <f>IF(OR(I45="",K45&lt;&gt;""),"",I45-TODAY())</f>
      </c>
      <c r="N45" s="8">
        <f>IF(E45="","",IF(K45&lt;&gt;"",IF(L45="","Preuve à joindre","Levée"),IF(I45="","À planifier",IF(M45&lt;0,"En retard","En cours"))))</f>
      </c>
    </row>
    <row r="46" spans="1:14" x14ac:dyDescent="0.25">
      <c r="A46" s="5">
        <v>42</v>
      </c>
      <c r="B46" s="6"/>
      <c r="C46" s="5"/>
      <c r="D46" s="5"/>
      <c r="E46" s="7"/>
      <c r="F46" s="5"/>
      <c r="G46" s="7"/>
      <c r="H46" s="5"/>
      <c r="I46" s="6"/>
      <c r="J46" s="5"/>
      <c r="K46" s="6"/>
      <c r="L46" s="7"/>
      <c r="M46" s="8">
        <f>IF(OR(I46="",K46&lt;&gt;""),"",I46-TODAY())</f>
      </c>
      <c r="N46" s="8">
        <f>IF(E46="","",IF(K46&lt;&gt;"",IF(L46="","Preuve à joindre","Levée"),IF(I46="","À planifier",IF(M46&lt;0,"En retard","En cours"))))</f>
      </c>
    </row>
    <row r="47" spans="1:14" x14ac:dyDescent="0.25">
      <c r="A47" s="5">
        <v>43</v>
      </c>
      <c r="B47" s="6"/>
      <c r="C47" s="5"/>
      <c r="D47" s="5"/>
      <c r="E47" s="7"/>
      <c r="F47" s="5"/>
      <c r="G47" s="7"/>
      <c r="H47" s="5"/>
      <c r="I47" s="6"/>
      <c r="J47" s="5"/>
      <c r="K47" s="6"/>
      <c r="L47" s="7"/>
      <c r="M47" s="8">
        <f>IF(OR(I47="",K47&lt;&gt;""),"",I47-TODAY())</f>
      </c>
      <c r="N47" s="8">
        <f>IF(E47="","",IF(K47&lt;&gt;"",IF(L47="","Preuve à joindre","Levée"),IF(I47="","À planifier",IF(M47&lt;0,"En retard","En cours"))))</f>
      </c>
    </row>
    <row r="48" spans="1:14" x14ac:dyDescent="0.25">
      <c r="A48" s="5">
        <v>44</v>
      </c>
      <c r="B48" s="6"/>
      <c r="C48" s="5"/>
      <c r="D48" s="5"/>
      <c r="E48" s="7"/>
      <c r="F48" s="5"/>
      <c r="G48" s="7"/>
      <c r="H48" s="5"/>
      <c r="I48" s="6"/>
      <c r="J48" s="5"/>
      <c r="K48" s="6"/>
      <c r="L48" s="7"/>
      <c r="M48" s="8">
        <f>IF(OR(I48="",K48&lt;&gt;""),"",I48-TODAY())</f>
      </c>
      <c r="N48" s="8">
        <f>IF(E48="","",IF(K48&lt;&gt;"",IF(L48="","Preuve à joindre","Levée"),IF(I48="","À planifier",IF(M48&lt;0,"En retard","En cours"))))</f>
      </c>
    </row>
    <row r="49" spans="1:14" x14ac:dyDescent="0.25">
      <c r="A49" s="5">
        <v>45</v>
      </c>
      <c r="B49" s="6"/>
      <c r="C49" s="5"/>
      <c r="D49" s="5"/>
      <c r="E49" s="7"/>
      <c r="F49" s="5"/>
      <c r="G49" s="7"/>
      <c r="H49" s="5"/>
      <c r="I49" s="6"/>
      <c r="J49" s="5"/>
      <c r="K49" s="6"/>
      <c r="L49" s="7"/>
      <c r="M49" s="8">
        <f>IF(OR(I49="",K49&lt;&gt;""),"",I49-TODAY())</f>
      </c>
      <c r="N49" s="8">
        <f>IF(E49="","",IF(K49&lt;&gt;"",IF(L49="","Preuve à joindre","Levée"),IF(I49="","À planifier",IF(M49&lt;0,"En retard","En cours"))))</f>
      </c>
    </row>
    <row r="50" spans="1:14" x14ac:dyDescent="0.25">
      <c r="A50" s="5">
        <v>46</v>
      </c>
      <c r="B50" s="6"/>
      <c r="C50" s="5"/>
      <c r="D50" s="5"/>
      <c r="E50" s="7"/>
      <c r="F50" s="5"/>
      <c r="G50" s="7"/>
      <c r="H50" s="5"/>
      <c r="I50" s="6"/>
      <c r="J50" s="5"/>
      <c r="K50" s="6"/>
      <c r="L50" s="7"/>
      <c r="M50" s="8">
        <f>IF(OR(I50="",K50&lt;&gt;""),"",I50-TODAY())</f>
      </c>
      <c r="N50" s="8">
        <f>IF(E50="","",IF(K50&lt;&gt;"",IF(L50="","Preuve à joindre","Levée"),IF(I50="","À planifier",IF(M50&lt;0,"En retard","En cours"))))</f>
      </c>
    </row>
    <row r="51" spans="1:14" x14ac:dyDescent="0.25">
      <c r="A51" s="5">
        <v>47</v>
      </c>
      <c r="B51" s="6"/>
      <c r="C51" s="5"/>
      <c r="D51" s="5"/>
      <c r="E51" s="7"/>
      <c r="F51" s="5"/>
      <c r="G51" s="7"/>
      <c r="H51" s="5"/>
      <c r="I51" s="6"/>
      <c r="J51" s="5"/>
      <c r="K51" s="6"/>
      <c r="L51" s="7"/>
      <c r="M51" s="8">
        <f>IF(OR(I51="",K51&lt;&gt;""),"",I51-TODAY())</f>
      </c>
      <c r="N51" s="8">
        <f>IF(E51="","",IF(K51&lt;&gt;"",IF(L51="","Preuve à joindre","Levée"),IF(I51="","À planifier",IF(M51&lt;0,"En retard","En cours"))))</f>
      </c>
    </row>
    <row r="52" spans="1:14" x14ac:dyDescent="0.25">
      <c r="A52" s="5">
        <v>48</v>
      </c>
      <c r="B52" s="6"/>
      <c r="C52" s="5"/>
      <c r="D52" s="5"/>
      <c r="E52" s="7"/>
      <c r="F52" s="5"/>
      <c r="G52" s="7"/>
      <c r="H52" s="5"/>
      <c r="I52" s="6"/>
      <c r="J52" s="5"/>
      <c r="K52" s="6"/>
      <c r="L52" s="7"/>
      <c r="M52" s="8">
        <f>IF(OR(I52="",K52&lt;&gt;""),"",I52-TODAY())</f>
      </c>
      <c r="N52" s="8">
        <f>IF(E52="","",IF(K52&lt;&gt;"",IF(L52="","Preuve à joindre","Levée"),IF(I52="","À planifier",IF(M52&lt;0,"En retard","En cours"))))</f>
      </c>
    </row>
    <row r="53" spans="1:14" x14ac:dyDescent="0.25">
      <c r="A53" s="5">
        <v>49</v>
      </c>
      <c r="B53" s="6"/>
      <c r="C53" s="5"/>
      <c r="D53" s="5"/>
      <c r="E53" s="7"/>
      <c r="F53" s="5"/>
      <c r="G53" s="7"/>
      <c r="H53" s="5"/>
      <c r="I53" s="6"/>
      <c r="J53" s="5"/>
      <c r="K53" s="6"/>
      <c r="L53" s="7"/>
      <c r="M53" s="8">
        <f>IF(OR(I53="",K53&lt;&gt;""),"",I53-TODAY())</f>
      </c>
      <c r="N53" s="8">
        <f>IF(E53="","",IF(K53&lt;&gt;"",IF(L53="","Preuve à joindre","Levée"),IF(I53="","À planifier",IF(M53&lt;0,"En retard","En cours"))))</f>
      </c>
    </row>
    <row r="54" spans="1:14" x14ac:dyDescent="0.25">
      <c r="A54" s="5">
        <v>50</v>
      </c>
      <c r="B54" s="6"/>
      <c r="C54" s="5"/>
      <c r="D54" s="5"/>
      <c r="E54" s="7"/>
      <c r="F54" s="5"/>
      <c r="G54" s="7"/>
      <c r="H54" s="5"/>
      <c r="I54" s="6"/>
      <c r="J54" s="5"/>
      <c r="K54" s="6"/>
      <c r="L54" s="7"/>
      <c r="M54" s="8">
        <f>IF(OR(I54="",K54&lt;&gt;""),"",I54-TODAY())</f>
      </c>
      <c r="N54" s="8">
        <f>IF(E54="","",IF(K54&lt;&gt;"",IF(L54="","Preuve à joindre","Levée"),IF(I54="","À planifier",IF(M54&lt;0,"En retard","En cours"))))</f>
      </c>
    </row>
    <row r="55" spans="1:14" x14ac:dyDescent="0.25">
      <c r="A55" s="5">
        <v>51</v>
      </c>
      <c r="B55" s="6"/>
      <c r="C55" s="5"/>
      <c r="D55" s="5"/>
      <c r="E55" s="7"/>
      <c r="F55" s="5"/>
      <c r="G55" s="7"/>
      <c r="H55" s="5"/>
      <c r="I55" s="6"/>
      <c r="J55" s="5"/>
      <c r="K55" s="6"/>
      <c r="L55" s="7"/>
      <c r="M55" s="8">
        <f>IF(OR(I55="",K55&lt;&gt;""),"",I55-TODAY())</f>
      </c>
      <c r="N55" s="8">
        <f>IF(E55="","",IF(K55&lt;&gt;"",IF(L55="","Preuve à joindre","Levée"),IF(I55="","À planifier",IF(M55&lt;0,"En retard","En cours"))))</f>
      </c>
    </row>
    <row r="56" spans="1:14" x14ac:dyDescent="0.25">
      <c r="A56" s="5">
        <v>52</v>
      </c>
      <c r="B56" s="6"/>
      <c r="C56" s="5"/>
      <c r="D56" s="5"/>
      <c r="E56" s="7"/>
      <c r="F56" s="5"/>
      <c r="G56" s="7"/>
      <c r="H56" s="5"/>
      <c r="I56" s="6"/>
      <c r="J56" s="5"/>
      <c r="K56" s="6"/>
      <c r="L56" s="7"/>
      <c r="M56" s="8">
        <f>IF(OR(I56="",K56&lt;&gt;""),"",I56-TODAY())</f>
      </c>
      <c r="N56" s="8">
        <f>IF(E56="","",IF(K56&lt;&gt;"",IF(L56="","Preuve à joindre","Levée"),IF(I56="","À planifier",IF(M56&lt;0,"En retard","En cours"))))</f>
      </c>
    </row>
    <row r="57" spans="1:14" x14ac:dyDescent="0.25">
      <c r="A57" s="5">
        <v>53</v>
      </c>
      <c r="B57" s="6"/>
      <c r="C57" s="5"/>
      <c r="D57" s="5"/>
      <c r="E57" s="7"/>
      <c r="F57" s="5"/>
      <c r="G57" s="7"/>
      <c r="H57" s="5"/>
      <c r="I57" s="6"/>
      <c r="J57" s="5"/>
      <c r="K57" s="6"/>
      <c r="L57" s="7"/>
      <c r="M57" s="8">
        <f>IF(OR(I57="",K57&lt;&gt;""),"",I57-TODAY())</f>
      </c>
      <c r="N57" s="8">
        <f>IF(E57="","",IF(K57&lt;&gt;"",IF(L57="","Preuve à joindre","Levée"),IF(I57="","À planifier",IF(M57&lt;0,"En retard","En cours"))))</f>
      </c>
    </row>
    <row r="58" spans="1:14" x14ac:dyDescent="0.25">
      <c r="A58" s="5">
        <v>54</v>
      </c>
      <c r="B58" s="6"/>
      <c r="C58" s="5"/>
      <c r="D58" s="5"/>
      <c r="E58" s="7"/>
      <c r="F58" s="5"/>
      <c r="G58" s="7"/>
      <c r="H58" s="5"/>
      <c r="I58" s="6"/>
      <c r="J58" s="5"/>
      <c r="K58" s="6"/>
      <c r="L58" s="7"/>
      <c r="M58" s="8">
        <f>IF(OR(I58="",K58&lt;&gt;""),"",I58-TODAY())</f>
      </c>
      <c r="N58" s="8">
        <f>IF(E58="","",IF(K58&lt;&gt;"",IF(L58="","Preuve à joindre","Levée"),IF(I58="","À planifier",IF(M58&lt;0,"En retard","En cours"))))</f>
      </c>
    </row>
    <row r="59" spans="1:14" x14ac:dyDescent="0.25">
      <c r="A59" s="5">
        <v>55</v>
      </c>
      <c r="B59" s="6"/>
      <c r="C59" s="5"/>
      <c r="D59" s="5"/>
      <c r="E59" s="7"/>
      <c r="F59" s="5"/>
      <c r="G59" s="7"/>
      <c r="H59" s="5"/>
      <c r="I59" s="6"/>
      <c r="J59" s="5"/>
      <c r="K59" s="6"/>
      <c r="L59" s="7"/>
      <c r="M59" s="8">
        <f>IF(OR(I59="",K59&lt;&gt;""),"",I59-TODAY())</f>
      </c>
      <c r="N59" s="8">
        <f>IF(E59="","",IF(K59&lt;&gt;"",IF(L59="","Preuve à joindre","Levée"),IF(I59="","À planifier",IF(M59&lt;0,"En retard","En cours"))))</f>
      </c>
    </row>
    <row r="60" spans="1:14" x14ac:dyDescent="0.25">
      <c r="A60" s="5">
        <v>56</v>
      </c>
      <c r="B60" s="6"/>
      <c r="C60" s="5"/>
      <c r="D60" s="5"/>
      <c r="E60" s="7"/>
      <c r="F60" s="5"/>
      <c r="G60" s="7"/>
      <c r="H60" s="5"/>
      <c r="I60" s="6"/>
      <c r="J60" s="5"/>
      <c r="K60" s="6"/>
      <c r="L60" s="7"/>
      <c r="M60" s="8">
        <f>IF(OR(I60="",K60&lt;&gt;""),"",I60-TODAY())</f>
      </c>
      <c r="N60" s="8">
        <f>IF(E60="","",IF(K60&lt;&gt;"",IF(L60="","Preuve à joindre","Levée"),IF(I60="","À planifier",IF(M60&lt;0,"En retard","En cours"))))</f>
      </c>
    </row>
    <row r="61" spans="1:14" x14ac:dyDescent="0.25">
      <c r="A61" s="5">
        <v>57</v>
      </c>
      <c r="B61" s="6"/>
      <c r="C61" s="5"/>
      <c r="D61" s="5"/>
      <c r="E61" s="7"/>
      <c r="F61" s="5"/>
      <c r="G61" s="7"/>
      <c r="H61" s="5"/>
      <c r="I61" s="6"/>
      <c r="J61" s="5"/>
      <c r="K61" s="6"/>
      <c r="L61" s="7"/>
      <c r="M61" s="8">
        <f>IF(OR(I61="",K61&lt;&gt;""),"",I61-TODAY())</f>
      </c>
      <c r="N61" s="8">
        <f>IF(E61="","",IF(K61&lt;&gt;"",IF(L61="","Preuve à joindre","Levée"),IF(I61="","À planifier",IF(M61&lt;0,"En retard","En cours"))))</f>
      </c>
    </row>
    <row r="62" spans="1:14" x14ac:dyDescent="0.25">
      <c r="A62" s="5">
        <v>58</v>
      </c>
      <c r="B62" s="6"/>
      <c r="C62" s="5"/>
      <c r="D62" s="5"/>
      <c r="E62" s="7"/>
      <c r="F62" s="5"/>
      <c r="G62" s="7"/>
      <c r="H62" s="5"/>
      <c r="I62" s="6"/>
      <c r="J62" s="5"/>
      <c r="K62" s="6"/>
      <c r="L62" s="7"/>
      <c r="M62" s="8">
        <f>IF(OR(I62="",K62&lt;&gt;""),"",I62-TODAY())</f>
      </c>
      <c r="N62" s="8">
        <f>IF(E62="","",IF(K62&lt;&gt;"",IF(L62="","Preuve à joindre","Levée"),IF(I62="","À planifier",IF(M62&lt;0,"En retard","En cours"))))</f>
      </c>
    </row>
    <row r="63" spans="1:14" x14ac:dyDescent="0.25">
      <c r="A63" s="5">
        <v>59</v>
      </c>
      <c r="B63" s="6"/>
      <c r="C63" s="5"/>
      <c r="D63" s="5"/>
      <c r="E63" s="7"/>
      <c r="F63" s="5"/>
      <c r="G63" s="7"/>
      <c r="H63" s="5"/>
      <c r="I63" s="6"/>
      <c r="J63" s="5"/>
      <c r="K63" s="6"/>
      <c r="L63" s="7"/>
      <c r="M63" s="8">
        <f>IF(OR(I63="",K63&lt;&gt;""),"",I63-TODAY())</f>
      </c>
      <c r="N63" s="8">
        <f>IF(E63="","",IF(K63&lt;&gt;"",IF(L63="","Preuve à joindre","Levée"),IF(I63="","À planifier",IF(M63&lt;0,"En retard","En cours"))))</f>
      </c>
    </row>
    <row r="64" spans="1:14" x14ac:dyDescent="0.25">
      <c r="A64" s="5">
        <v>60</v>
      </c>
      <c r="B64" s="6"/>
      <c r="C64" s="5"/>
      <c r="D64" s="5"/>
      <c r="E64" s="7"/>
      <c r="F64" s="5"/>
      <c r="G64" s="7"/>
      <c r="H64" s="5"/>
      <c r="I64" s="6"/>
      <c r="J64" s="5"/>
      <c r="K64" s="6"/>
      <c r="L64" s="7"/>
      <c r="M64" s="8">
        <f>IF(OR(I64="",K64&lt;&gt;""),"",I64-TODAY())</f>
      </c>
      <c r="N64" s="8">
        <f>IF(E64="","",IF(K64&lt;&gt;"",IF(L64="","Preuve à joindre","Levée"),IF(I64="","À planifier",IF(M64&lt;0,"En retard","En cours"))))</f>
      </c>
    </row>
    <row r="65" spans="1:14" x14ac:dyDescent="0.25">
      <c r="A65" s="5">
        <v>61</v>
      </c>
      <c r="B65" s="6"/>
      <c r="C65" s="5"/>
      <c r="D65" s="5"/>
      <c r="E65" s="7"/>
      <c r="F65" s="5"/>
      <c r="G65" s="7"/>
      <c r="H65" s="5"/>
      <c r="I65" s="6"/>
      <c r="J65" s="5"/>
      <c r="K65" s="6"/>
      <c r="L65" s="7"/>
      <c r="M65" s="8">
        <f>IF(OR(I65="",K65&lt;&gt;""),"",I65-TODAY())</f>
      </c>
      <c r="N65" s="8">
        <f>IF(E65="","",IF(K65&lt;&gt;"",IF(L65="","Preuve à joindre","Levée"),IF(I65="","À planifier",IF(M65&lt;0,"En retard","En cours"))))</f>
      </c>
    </row>
    <row r="66" spans="1:14" x14ac:dyDescent="0.25">
      <c r="A66" s="5">
        <v>62</v>
      </c>
      <c r="B66" s="6"/>
      <c r="C66" s="5"/>
      <c r="D66" s="5"/>
      <c r="E66" s="7"/>
      <c r="F66" s="5"/>
      <c r="G66" s="7"/>
      <c r="H66" s="5"/>
      <c r="I66" s="6"/>
      <c r="J66" s="5"/>
      <c r="K66" s="6"/>
      <c r="L66" s="7"/>
      <c r="M66" s="8">
        <f>IF(OR(I66="",K66&lt;&gt;""),"",I66-TODAY())</f>
      </c>
      <c r="N66" s="8">
        <f>IF(E66="","",IF(K66&lt;&gt;"",IF(L66="","Preuve à joindre","Levée"),IF(I66="","À planifier",IF(M66&lt;0,"En retard","En cours"))))</f>
      </c>
    </row>
    <row r="67" spans="1:14" x14ac:dyDescent="0.25">
      <c r="A67" s="5">
        <v>63</v>
      </c>
      <c r="B67" s="6"/>
      <c r="C67" s="5"/>
      <c r="D67" s="5"/>
      <c r="E67" s="7"/>
      <c r="F67" s="5"/>
      <c r="G67" s="7"/>
      <c r="H67" s="5"/>
      <c r="I67" s="6"/>
      <c r="J67" s="5"/>
      <c r="K67" s="6"/>
      <c r="L67" s="7"/>
      <c r="M67" s="8">
        <f>IF(OR(I67="",K67&lt;&gt;""),"",I67-TODAY())</f>
      </c>
      <c r="N67" s="8">
        <f>IF(E67="","",IF(K67&lt;&gt;"",IF(L67="","Preuve à joindre","Levée"),IF(I67="","À planifier",IF(M67&lt;0,"En retard","En cours"))))</f>
      </c>
    </row>
    <row r="68" spans="1:14" x14ac:dyDescent="0.25">
      <c r="A68" s="5">
        <v>64</v>
      </c>
      <c r="B68" s="6"/>
      <c r="C68" s="5"/>
      <c r="D68" s="5"/>
      <c r="E68" s="7"/>
      <c r="F68" s="5"/>
      <c r="G68" s="7"/>
      <c r="H68" s="5"/>
      <c r="I68" s="6"/>
      <c r="J68" s="5"/>
      <c r="K68" s="6"/>
      <c r="L68" s="7"/>
      <c r="M68" s="8">
        <f>IF(OR(I68="",K68&lt;&gt;""),"",I68-TODAY())</f>
      </c>
      <c r="N68" s="8">
        <f>IF(E68="","",IF(K68&lt;&gt;"",IF(L68="","Preuve à joindre","Levée"),IF(I68="","À planifier",IF(M68&lt;0,"En retard","En cours"))))</f>
      </c>
    </row>
    <row r="69" spans="1:14" x14ac:dyDescent="0.25">
      <c r="A69" s="5">
        <v>65</v>
      </c>
      <c r="B69" s="6"/>
      <c r="C69" s="5"/>
      <c r="D69" s="5"/>
      <c r="E69" s="7"/>
      <c r="F69" s="5"/>
      <c r="G69" s="7"/>
      <c r="H69" s="5"/>
      <c r="I69" s="6"/>
      <c r="J69" s="5"/>
      <c r="K69" s="6"/>
      <c r="L69" s="7"/>
      <c r="M69" s="8">
        <f>IF(OR(I69="",K69&lt;&gt;""),"",I69-TODAY())</f>
      </c>
      <c r="N69" s="8">
        <f>IF(E69="","",IF(K69&lt;&gt;"",IF(L69="","Preuve à joindre","Levée"),IF(I69="","À planifier",IF(M69&lt;0,"En retard","En cours"))))</f>
      </c>
    </row>
    <row r="70" spans="1:14" x14ac:dyDescent="0.25">
      <c r="A70" s="5">
        <v>66</v>
      </c>
      <c r="B70" s="6"/>
      <c r="C70" s="5"/>
      <c r="D70" s="5"/>
      <c r="E70" s="7"/>
      <c r="F70" s="5"/>
      <c r="G70" s="7"/>
      <c r="H70" s="5"/>
      <c r="I70" s="6"/>
      <c r="J70" s="5"/>
      <c r="K70" s="6"/>
      <c r="L70" s="7"/>
      <c r="M70" s="8">
        <f>IF(OR(I70="",K70&lt;&gt;""),"",I70-TODAY())</f>
      </c>
      <c r="N70" s="8">
        <f>IF(E70="","",IF(K70&lt;&gt;"",IF(L70="","Preuve à joindre","Levée"),IF(I70="","À planifier",IF(M70&lt;0,"En retard","En cours"))))</f>
      </c>
    </row>
    <row r="71" spans="1:14" x14ac:dyDescent="0.25">
      <c r="A71" s="5">
        <v>67</v>
      </c>
      <c r="B71" s="6"/>
      <c r="C71" s="5"/>
      <c r="D71" s="5"/>
      <c r="E71" s="7"/>
      <c r="F71" s="5"/>
      <c r="G71" s="7"/>
      <c r="H71" s="5"/>
      <c r="I71" s="6"/>
      <c r="J71" s="5"/>
      <c r="K71" s="6"/>
      <c r="L71" s="7"/>
      <c r="M71" s="8">
        <f>IF(OR(I71="",K71&lt;&gt;""),"",I71-TODAY())</f>
      </c>
      <c r="N71" s="8">
        <f>IF(E71="","",IF(K71&lt;&gt;"",IF(L71="","Preuve à joindre","Levée"),IF(I71="","À planifier",IF(M71&lt;0,"En retard","En cours"))))</f>
      </c>
    </row>
    <row r="72" spans="1:14" x14ac:dyDescent="0.25">
      <c r="A72" s="5">
        <v>68</v>
      </c>
      <c r="B72" s="6"/>
      <c r="C72" s="5"/>
      <c r="D72" s="5"/>
      <c r="E72" s="7"/>
      <c r="F72" s="5"/>
      <c r="G72" s="7"/>
      <c r="H72" s="5"/>
      <c r="I72" s="6"/>
      <c r="J72" s="5"/>
      <c r="K72" s="6"/>
      <c r="L72" s="7"/>
      <c r="M72" s="8">
        <f>IF(OR(I72="",K72&lt;&gt;""),"",I72-TODAY())</f>
      </c>
      <c r="N72" s="8">
        <f>IF(E72="","",IF(K72&lt;&gt;"",IF(L72="","Preuve à joindre","Levée"),IF(I72="","À planifier",IF(M72&lt;0,"En retard","En cours"))))</f>
      </c>
    </row>
    <row r="73" spans="1:14" x14ac:dyDescent="0.25">
      <c r="A73" s="5">
        <v>69</v>
      </c>
      <c r="B73" s="6"/>
      <c r="C73" s="5"/>
      <c r="D73" s="5"/>
      <c r="E73" s="7"/>
      <c r="F73" s="5"/>
      <c r="G73" s="7"/>
      <c r="H73" s="5"/>
      <c r="I73" s="6"/>
      <c r="J73" s="5"/>
      <c r="K73" s="6"/>
      <c r="L73" s="7"/>
      <c r="M73" s="8">
        <f>IF(OR(I73="",K73&lt;&gt;""),"",I73-TODAY())</f>
      </c>
      <c r="N73" s="8">
        <f>IF(E73="","",IF(K73&lt;&gt;"",IF(L73="","Preuve à joindre","Levée"),IF(I73="","À planifier",IF(M73&lt;0,"En retard","En cours"))))</f>
      </c>
    </row>
    <row r="74" spans="1:14" x14ac:dyDescent="0.25">
      <c r="A74" s="5">
        <v>70</v>
      </c>
      <c r="B74" s="6"/>
      <c r="C74" s="5"/>
      <c r="D74" s="5"/>
      <c r="E74" s="7"/>
      <c r="F74" s="5"/>
      <c r="G74" s="7"/>
      <c r="H74" s="5"/>
      <c r="I74" s="6"/>
      <c r="J74" s="5"/>
      <c r="K74" s="6"/>
      <c r="L74" s="7"/>
      <c r="M74" s="8">
        <f>IF(OR(I74="",K74&lt;&gt;""),"",I74-TODAY())</f>
      </c>
      <c r="N74" s="8">
        <f>IF(E74="","",IF(K74&lt;&gt;"",IF(L74="","Preuve à joindre","Levée"),IF(I74="","À planifier",IF(M74&lt;0,"En retard","En cours"))))</f>
      </c>
    </row>
    <row r="75" spans="1:14" x14ac:dyDescent="0.25">
      <c r="A75" s="5">
        <v>71</v>
      </c>
      <c r="B75" s="6"/>
      <c r="C75" s="5"/>
      <c r="D75" s="5"/>
      <c r="E75" s="7"/>
      <c r="F75" s="5"/>
      <c r="G75" s="7"/>
      <c r="H75" s="5"/>
      <c r="I75" s="6"/>
      <c r="J75" s="5"/>
      <c r="K75" s="6"/>
      <c r="L75" s="7"/>
      <c r="M75" s="8">
        <f>IF(OR(I75="",K75&lt;&gt;""),"",I75-TODAY())</f>
      </c>
      <c r="N75" s="8">
        <f>IF(E75="","",IF(K75&lt;&gt;"",IF(L75="","Preuve à joindre","Levée"),IF(I75="","À planifier",IF(M75&lt;0,"En retard","En cours"))))</f>
      </c>
    </row>
    <row r="76" spans="1:14" x14ac:dyDescent="0.25">
      <c r="A76" s="5">
        <v>72</v>
      </c>
      <c r="B76" s="6"/>
      <c r="C76" s="5"/>
      <c r="D76" s="5"/>
      <c r="E76" s="7"/>
      <c r="F76" s="5"/>
      <c r="G76" s="7"/>
      <c r="H76" s="5"/>
      <c r="I76" s="6"/>
      <c r="J76" s="5"/>
      <c r="K76" s="6"/>
      <c r="L76" s="7"/>
      <c r="M76" s="8">
        <f>IF(OR(I76="",K76&lt;&gt;""),"",I76-TODAY())</f>
      </c>
      <c r="N76" s="8">
        <f>IF(E76="","",IF(K76&lt;&gt;"",IF(L76="","Preuve à joindre","Levée"),IF(I76="","À planifier",IF(M76&lt;0,"En retard","En cours"))))</f>
      </c>
    </row>
    <row r="77" spans="1:14" x14ac:dyDescent="0.25">
      <c r="A77" s="5">
        <v>73</v>
      </c>
      <c r="B77" s="6"/>
      <c r="C77" s="5"/>
      <c r="D77" s="5"/>
      <c r="E77" s="7"/>
      <c r="F77" s="5"/>
      <c r="G77" s="7"/>
      <c r="H77" s="5"/>
      <c r="I77" s="6"/>
      <c r="J77" s="5"/>
      <c r="K77" s="6"/>
      <c r="L77" s="7"/>
      <c r="M77" s="8">
        <f>IF(OR(I77="",K77&lt;&gt;""),"",I77-TODAY())</f>
      </c>
      <c r="N77" s="8">
        <f>IF(E77="","",IF(K77&lt;&gt;"",IF(L77="","Preuve à joindre","Levée"),IF(I77="","À planifier",IF(M77&lt;0,"En retard","En cours"))))</f>
      </c>
    </row>
    <row r="78" spans="1:14" x14ac:dyDescent="0.25">
      <c r="A78" s="5">
        <v>74</v>
      </c>
      <c r="B78" s="6"/>
      <c r="C78" s="5"/>
      <c r="D78" s="5"/>
      <c r="E78" s="7"/>
      <c r="F78" s="5"/>
      <c r="G78" s="7"/>
      <c r="H78" s="5"/>
      <c r="I78" s="6"/>
      <c r="J78" s="5"/>
      <c r="K78" s="6"/>
      <c r="L78" s="7"/>
      <c r="M78" s="8">
        <f>IF(OR(I78="",K78&lt;&gt;""),"",I78-TODAY())</f>
      </c>
      <c r="N78" s="8">
        <f>IF(E78="","",IF(K78&lt;&gt;"",IF(L78="","Preuve à joindre","Levée"),IF(I78="","À planifier",IF(M78&lt;0,"En retard","En cours"))))</f>
      </c>
    </row>
    <row r="79" spans="1:14" x14ac:dyDescent="0.25">
      <c r="A79" s="5">
        <v>75</v>
      </c>
      <c r="B79" s="6"/>
      <c r="C79" s="5"/>
      <c r="D79" s="5"/>
      <c r="E79" s="7"/>
      <c r="F79" s="5"/>
      <c r="G79" s="7"/>
      <c r="H79" s="5"/>
      <c r="I79" s="6"/>
      <c r="J79" s="5"/>
      <c r="K79" s="6"/>
      <c r="L79" s="7"/>
      <c r="M79" s="8">
        <f>IF(OR(I79="",K79&lt;&gt;""),"",I79-TODAY())</f>
      </c>
      <c r="N79" s="8">
        <f>IF(E79="","",IF(K79&lt;&gt;"",IF(L79="","Preuve à joindre","Levée"),IF(I79="","À planifier",IF(M79&lt;0,"En retard","En cours"))))</f>
      </c>
    </row>
    <row r="80" spans="1:14" x14ac:dyDescent="0.25">
      <c r="A80" s="5">
        <v>76</v>
      </c>
      <c r="B80" s="6"/>
      <c r="C80" s="5"/>
      <c r="D80" s="5"/>
      <c r="E80" s="7"/>
      <c r="F80" s="5"/>
      <c r="G80" s="7"/>
      <c r="H80" s="5"/>
      <c r="I80" s="6"/>
      <c r="J80" s="5"/>
      <c r="K80" s="6"/>
      <c r="L80" s="7"/>
      <c r="M80" s="8">
        <f>IF(OR(I80="",K80&lt;&gt;""),"",I80-TODAY())</f>
      </c>
      <c r="N80" s="8">
        <f>IF(E80="","",IF(K80&lt;&gt;"",IF(L80="","Preuve à joindre","Levée"),IF(I80="","À planifier",IF(M80&lt;0,"En retard","En cours"))))</f>
      </c>
    </row>
    <row r="81" spans="1:14" x14ac:dyDescent="0.25">
      <c r="A81" s="5">
        <v>77</v>
      </c>
      <c r="B81" s="6"/>
      <c r="C81" s="5"/>
      <c r="D81" s="5"/>
      <c r="E81" s="7"/>
      <c r="F81" s="5"/>
      <c r="G81" s="7"/>
      <c r="H81" s="5"/>
      <c r="I81" s="6"/>
      <c r="J81" s="5"/>
      <c r="K81" s="6"/>
      <c r="L81" s="7"/>
      <c r="M81" s="8">
        <f>IF(OR(I81="",K81&lt;&gt;""),"",I81-TODAY())</f>
      </c>
      <c r="N81" s="8">
        <f>IF(E81="","",IF(K81&lt;&gt;"",IF(L81="","Preuve à joindre","Levée"),IF(I81="","À planifier",IF(M81&lt;0,"En retard","En cours"))))</f>
      </c>
    </row>
    <row r="82" spans="1:14" x14ac:dyDescent="0.25">
      <c r="A82" s="5">
        <v>78</v>
      </c>
      <c r="B82" s="6"/>
      <c r="C82" s="5"/>
      <c r="D82" s="5"/>
      <c r="E82" s="7"/>
      <c r="F82" s="5"/>
      <c r="G82" s="7"/>
      <c r="H82" s="5"/>
      <c r="I82" s="6"/>
      <c r="J82" s="5"/>
      <c r="K82" s="6"/>
      <c r="L82" s="7"/>
      <c r="M82" s="8">
        <f>IF(OR(I82="",K82&lt;&gt;""),"",I82-TODAY())</f>
      </c>
      <c r="N82" s="8">
        <f>IF(E82="","",IF(K82&lt;&gt;"",IF(L82="","Preuve à joindre","Levée"),IF(I82="","À planifier",IF(M82&lt;0,"En retard","En cours"))))</f>
      </c>
    </row>
    <row r="83" spans="1:14" x14ac:dyDescent="0.25">
      <c r="A83" s="5">
        <v>79</v>
      </c>
      <c r="B83" s="6"/>
      <c r="C83" s="5"/>
      <c r="D83" s="5"/>
      <c r="E83" s="7"/>
      <c r="F83" s="5"/>
      <c r="G83" s="7"/>
      <c r="H83" s="5"/>
      <c r="I83" s="6"/>
      <c r="J83" s="5"/>
      <c r="K83" s="6"/>
      <c r="L83" s="7"/>
      <c r="M83" s="8">
        <f>IF(OR(I83="",K83&lt;&gt;""),"",I83-TODAY())</f>
      </c>
      <c r="N83" s="8">
        <f>IF(E83="","",IF(K83&lt;&gt;"",IF(L83="","Preuve à joindre","Levée"),IF(I83="","À planifier",IF(M83&lt;0,"En retard","En cours"))))</f>
      </c>
    </row>
    <row r="84" spans="1:14" x14ac:dyDescent="0.25">
      <c r="A84" s="5">
        <v>80</v>
      </c>
      <c r="B84" s="6"/>
      <c r="C84" s="5"/>
      <c r="D84" s="5"/>
      <c r="E84" s="7"/>
      <c r="F84" s="5"/>
      <c r="G84" s="7"/>
      <c r="H84" s="5"/>
      <c r="I84" s="6"/>
      <c r="J84" s="5"/>
      <c r="K84" s="6"/>
      <c r="L84" s="7"/>
      <c r="M84" s="8">
        <f>IF(OR(I84="",K84&lt;&gt;""),"",I84-TODAY())</f>
      </c>
      <c r="N84" s="8">
        <f>IF(E84="","",IF(K84&lt;&gt;"",IF(L84="","Preuve à joindre","Levée"),IF(I84="","À planifier",IF(M84&lt;0,"En retard","En cours"))))</f>
      </c>
    </row>
    <row r="85" spans="1:14" x14ac:dyDescent="0.25">
      <c r="A85" s="5">
        <v>81</v>
      </c>
      <c r="B85" s="6"/>
      <c r="C85" s="5"/>
      <c r="D85" s="5"/>
      <c r="E85" s="7"/>
      <c r="F85" s="5"/>
      <c r="G85" s="7"/>
      <c r="H85" s="5"/>
      <c r="I85" s="6"/>
      <c r="J85" s="5"/>
      <c r="K85" s="6"/>
      <c r="L85" s="7"/>
      <c r="M85" s="8">
        <f>IF(OR(I85="",K85&lt;&gt;""),"",I85-TODAY())</f>
      </c>
      <c r="N85" s="8">
        <f>IF(E85="","",IF(K85&lt;&gt;"",IF(L85="","Preuve à joindre","Levée"),IF(I85="","À planifier",IF(M85&lt;0,"En retard","En cours"))))</f>
      </c>
    </row>
    <row r="86" spans="1:14" x14ac:dyDescent="0.25">
      <c r="A86" s="5">
        <v>82</v>
      </c>
      <c r="B86" s="6"/>
      <c r="C86" s="5"/>
      <c r="D86" s="5"/>
      <c r="E86" s="7"/>
      <c r="F86" s="5"/>
      <c r="G86" s="7"/>
      <c r="H86" s="5"/>
      <c r="I86" s="6"/>
      <c r="J86" s="5"/>
      <c r="K86" s="6"/>
      <c r="L86" s="7"/>
      <c r="M86" s="8">
        <f>IF(OR(I86="",K86&lt;&gt;""),"",I86-TODAY())</f>
      </c>
      <c r="N86" s="8">
        <f>IF(E86="","",IF(K86&lt;&gt;"",IF(L86="","Preuve à joindre","Levée"),IF(I86="","À planifier",IF(M86&lt;0,"En retard","En cours"))))</f>
      </c>
    </row>
    <row r="87" spans="1:14" x14ac:dyDescent="0.25">
      <c r="A87" s="5">
        <v>83</v>
      </c>
      <c r="B87" s="6"/>
      <c r="C87" s="5"/>
      <c r="D87" s="5"/>
      <c r="E87" s="7"/>
      <c r="F87" s="5"/>
      <c r="G87" s="7"/>
      <c r="H87" s="5"/>
      <c r="I87" s="6"/>
      <c r="J87" s="5"/>
      <c r="K87" s="6"/>
      <c r="L87" s="7"/>
      <c r="M87" s="8">
        <f>IF(OR(I87="",K87&lt;&gt;""),"",I87-TODAY())</f>
      </c>
      <c r="N87" s="8">
        <f>IF(E87="","",IF(K87&lt;&gt;"",IF(L87="","Preuve à joindre","Levée"),IF(I87="","À planifier",IF(M87&lt;0,"En retard","En cours"))))</f>
      </c>
    </row>
    <row r="88" spans="1:14" x14ac:dyDescent="0.25">
      <c r="A88" s="5">
        <v>84</v>
      </c>
      <c r="B88" s="6"/>
      <c r="C88" s="5"/>
      <c r="D88" s="5"/>
      <c r="E88" s="7"/>
      <c r="F88" s="5"/>
      <c r="G88" s="7"/>
      <c r="H88" s="5"/>
      <c r="I88" s="6"/>
      <c r="J88" s="5"/>
      <c r="K88" s="6"/>
      <c r="L88" s="7"/>
      <c r="M88" s="8">
        <f>IF(OR(I88="",K88&lt;&gt;""),"",I88-TODAY())</f>
      </c>
      <c r="N88" s="8">
        <f>IF(E88="","",IF(K88&lt;&gt;"",IF(L88="","Preuve à joindre","Levée"),IF(I88="","À planifier",IF(M88&lt;0,"En retard","En cours"))))</f>
      </c>
    </row>
    <row r="89" spans="1:14" x14ac:dyDescent="0.25">
      <c r="A89" s="5">
        <v>85</v>
      </c>
      <c r="B89" s="6"/>
      <c r="C89" s="5"/>
      <c r="D89" s="5"/>
      <c r="E89" s="7"/>
      <c r="F89" s="5"/>
      <c r="G89" s="7"/>
      <c r="H89" s="5"/>
      <c r="I89" s="6"/>
      <c r="J89" s="5"/>
      <c r="K89" s="6"/>
      <c r="L89" s="7"/>
      <c r="M89" s="8">
        <f>IF(OR(I89="",K89&lt;&gt;""),"",I89-TODAY())</f>
      </c>
      <c r="N89" s="8">
        <f>IF(E89="","",IF(K89&lt;&gt;"",IF(L89="","Preuve à joindre","Levée"),IF(I89="","À planifier",IF(M89&lt;0,"En retard","En cours"))))</f>
      </c>
    </row>
    <row r="90" spans="1:14" x14ac:dyDescent="0.25">
      <c r="A90" s="5">
        <v>86</v>
      </c>
      <c r="B90" s="6"/>
      <c r="C90" s="5"/>
      <c r="D90" s="5"/>
      <c r="E90" s="7"/>
      <c r="F90" s="5"/>
      <c r="G90" s="7"/>
      <c r="H90" s="5"/>
      <c r="I90" s="6"/>
      <c r="J90" s="5"/>
      <c r="K90" s="6"/>
      <c r="L90" s="7"/>
      <c r="M90" s="8">
        <f>IF(OR(I90="",K90&lt;&gt;""),"",I90-TODAY())</f>
      </c>
      <c r="N90" s="8">
        <f>IF(E90="","",IF(K90&lt;&gt;"",IF(L90="","Preuve à joindre","Levée"),IF(I90="","À planifier",IF(M90&lt;0,"En retard","En cours"))))</f>
      </c>
    </row>
    <row r="91" spans="1:14" x14ac:dyDescent="0.25">
      <c r="A91" s="5">
        <v>87</v>
      </c>
      <c r="B91" s="6"/>
      <c r="C91" s="5"/>
      <c r="D91" s="5"/>
      <c r="E91" s="7"/>
      <c r="F91" s="5"/>
      <c r="G91" s="7"/>
      <c r="H91" s="5"/>
      <c r="I91" s="6"/>
      <c r="J91" s="5"/>
      <c r="K91" s="6"/>
      <c r="L91" s="7"/>
      <c r="M91" s="8">
        <f>IF(OR(I91="",K91&lt;&gt;""),"",I91-TODAY())</f>
      </c>
      <c r="N91" s="8">
        <f>IF(E91="","",IF(K91&lt;&gt;"",IF(L91="","Preuve à joindre","Levée"),IF(I91="","À planifier",IF(M91&lt;0,"En retard","En cours"))))</f>
      </c>
    </row>
    <row r="92" spans="1:14" x14ac:dyDescent="0.25">
      <c r="A92" s="5">
        <v>88</v>
      </c>
      <c r="B92" s="6"/>
      <c r="C92" s="5"/>
      <c r="D92" s="5"/>
      <c r="E92" s="7"/>
      <c r="F92" s="5"/>
      <c r="G92" s="7"/>
      <c r="H92" s="5"/>
      <c r="I92" s="6"/>
      <c r="J92" s="5"/>
      <c r="K92" s="6"/>
      <c r="L92" s="7"/>
      <c r="M92" s="8">
        <f>IF(OR(I92="",K92&lt;&gt;""),"",I92-TODAY())</f>
      </c>
      <c r="N92" s="8">
        <f>IF(E92="","",IF(K92&lt;&gt;"",IF(L92="","Preuve à joindre","Levée"),IF(I92="","À planifier",IF(M92&lt;0,"En retard","En cours"))))</f>
      </c>
    </row>
    <row r="93" spans="1:14" x14ac:dyDescent="0.25">
      <c r="A93" s="5">
        <v>89</v>
      </c>
      <c r="B93" s="6"/>
      <c r="C93" s="5"/>
      <c r="D93" s="5"/>
      <c r="E93" s="7"/>
      <c r="F93" s="5"/>
      <c r="G93" s="7"/>
      <c r="H93" s="5"/>
      <c r="I93" s="6"/>
      <c r="J93" s="5"/>
      <c r="K93" s="6"/>
      <c r="L93" s="7"/>
      <c r="M93" s="8">
        <f>IF(OR(I93="",K93&lt;&gt;""),"",I93-TODAY())</f>
      </c>
      <c r="N93" s="8">
        <f>IF(E93="","",IF(K93&lt;&gt;"",IF(L93="","Preuve à joindre","Levée"),IF(I93="","À planifier",IF(M93&lt;0,"En retard","En cours"))))</f>
      </c>
    </row>
    <row r="94" spans="1:14" x14ac:dyDescent="0.25">
      <c r="A94" s="5">
        <v>90</v>
      </c>
      <c r="B94" s="6"/>
      <c r="C94" s="5"/>
      <c r="D94" s="5"/>
      <c r="E94" s="7"/>
      <c r="F94" s="5"/>
      <c r="G94" s="7"/>
      <c r="H94" s="5"/>
      <c r="I94" s="6"/>
      <c r="J94" s="5"/>
      <c r="K94" s="6"/>
      <c r="L94" s="7"/>
      <c r="M94" s="8">
        <f>IF(OR(I94="",K94&lt;&gt;""),"",I94-TODAY())</f>
      </c>
      <c r="N94" s="8">
        <f>IF(E94="","",IF(K94&lt;&gt;"",IF(L94="","Preuve à joindre","Levée"),IF(I94="","À planifier",IF(M94&lt;0,"En retard","En cours"))))</f>
      </c>
    </row>
    <row r="95" spans="1:14" x14ac:dyDescent="0.25">
      <c r="A95" s="5">
        <v>91</v>
      </c>
      <c r="B95" s="6"/>
      <c r="C95" s="5"/>
      <c r="D95" s="5"/>
      <c r="E95" s="7"/>
      <c r="F95" s="5"/>
      <c r="G95" s="7"/>
      <c r="H95" s="5"/>
      <c r="I95" s="6"/>
      <c r="J95" s="5"/>
      <c r="K95" s="6"/>
      <c r="L95" s="7"/>
      <c r="M95" s="8">
        <f>IF(OR(I95="",K95&lt;&gt;""),"",I95-TODAY())</f>
      </c>
      <c r="N95" s="8">
        <f>IF(E95="","",IF(K95&lt;&gt;"",IF(L95="","Preuve à joindre","Levée"),IF(I95="","À planifier",IF(M95&lt;0,"En retard","En cours"))))</f>
      </c>
    </row>
    <row r="96" spans="1:14" x14ac:dyDescent="0.25">
      <c r="A96" s="5">
        <v>92</v>
      </c>
      <c r="B96" s="6"/>
      <c r="C96" s="5"/>
      <c r="D96" s="5"/>
      <c r="E96" s="7"/>
      <c r="F96" s="5"/>
      <c r="G96" s="7"/>
      <c r="H96" s="5"/>
      <c r="I96" s="6"/>
      <c r="J96" s="5"/>
      <c r="K96" s="6"/>
      <c r="L96" s="7"/>
      <c r="M96" s="8">
        <f>IF(OR(I96="",K96&lt;&gt;""),"",I96-TODAY())</f>
      </c>
      <c r="N96" s="8">
        <f>IF(E96="","",IF(K96&lt;&gt;"",IF(L96="","Preuve à joindre","Levée"),IF(I96="","À planifier",IF(M96&lt;0,"En retard","En cours"))))</f>
      </c>
    </row>
    <row r="97" spans="1:14" x14ac:dyDescent="0.25">
      <c r="A97" s="5">
        <v>93</v>
      </c>
      <c r="B97" s="6"/>
      <c r="C97" s="5"/>
      <c r="D97" s="5"/>
      <c r="E97" s="7"/>
      <c r="F97" s="5"/>
      <c r="G97" s="7"/>
      <c r="H97" s="5"/>
      <c r="I97" s="6"/>
      <c r="J97" s="5"/>
      <c r="K97" s="6"/>
      <c r="L97" s="7"/>
      <c r="M97" s="8">
        <f>IF(OR(I97="",K97&lt;&gt;""),"",I97-TODAY())</f>
      </c>
      <c r="N97" s="8">
        <f>IF(E97="","",IF(K97&lt;&gt;"",IF(L97="","Preuve à joindre","Levée"),IF(I97="","À planifier",IF(M97&lt;0,"En retard","En cours"))))</f>
      </c>
    </row>
    <row r="98" spans="1:14" x14ac:dyDescent="0.25">
      <c r="A98" s="5">
        <v>94</v>
      </c>
      <c r="B98" s="6"/>
      <c r="C98" s="5"/>
      <c r="D98" s="5"/>
      <c r="E98" s="7"/>
      <c r="F98" s="5"/>
      <c r="G98" s="7"/>
      <c r="H98" s="5"/>
      <c r="I98" s="6"/>
      <c r="J98" s="5"/>
      <c r="K98" s="6"/>
      <c r="L98" s="7"/>
      <c r="M98" s="8">
        <f>IF(OR(I98="",K98&lt;&gt;""),"",I98-TODAY())</f>
      </c>
      <c r="N98" s="8">
        <f>IF(E98="","",IF(K98&lt;&gt;"",IF(L98="","Preuve à joindre","Levée"),IF(I98="","À planifier",IF(M98&lt;0,"En retard","En cours"))))</f>
      </c>
    </row>
    <row r="99" spans="1:14" x14ac:dyDescent="0.25">
      <c r="A99" s="5">
        <v>95</v>
      </c>
      <c r="B99" s="6"/>
      <c r="C99" s="5"/>
      <c r="D99" s="5"/>
      <c r="E99" s="7"/>
      <c r="F99" s="5"/>
      <c r="G99" s="7"/>
      <c r="H99" s="5"/>
      <c r="I99" s="6"/>
      <c r="J99" s="5"/>
      <c r="K99" s="6"/>
      <c r="L99" s="7"/>
      <c r="M99" s="8">
        <f>IF(OR(I99="",K99&lt;&gt;""),"",I99-TODAY())</f>
      </c>
      <c r="N99" s="8">
        <f>IF(E99="","",IF(K99&lt;&gt;"",IF(L99="","Preuve à joindre","Levée"),IF(I99="","À planifier",IF(M99&lt;0,"En retard","En cours"))))</f>
      </c>
    </row>
    <row r="100" spans="1:14" x14ac:dyDescent="0.25">
      <c r="A100" s="5">
        <v>96</v>
      </c>
      <c r="B100" s="6"/>
      <c r="C100" s="5"/>
      <c r="D100" s="5"/>
      <c r="E100" s="7"/>
      <c r="F100" s="5"/>
      <c r="G100" s="7"/>
      <c r="H100" s="5"/>
      <c r="I100" s="6"/>
      <c r="J100" s="5"/>
      <c r="K100" s="6"/>
      <c r="L100" s="7"/>
      <c r="M100" s="8">
        <f>IF(OR(I100="",K100&lt;&gt;""),"",I100-TODAY())</f>
      </c>
      <c r="N100" s="8">
        <f>IF(E100="","",IF(K100&lt;&gt;"",IF(L100="","Preuve à joindre","Levée"),IF(I100="","À planifier",IF(M100&lt;0,"En retard","En cours"))))</f>
      </c>
    </row>
    <row r="101" spans="1:14" x14ac:dyDescent="0.25">
      <c r="A101" s="5">
        <v>97</v>
      </c>
      <c r="B101" s="6"/>
      <c r="C101" s="5"/>
      <c r="D101" s="5"/>
      <c r="E101" s="7"/>
      <c r="F101" s="5"/>
      <c r="G101" s="7"/>
      <c r="H101" s="5"/>
      <c r="I101" s="6"/>
      <c r="J101" s="5"/>
      <c r="K101" s="6"/>
      <c r="L101" s="7"/>
      <c r="M101" s="8">
        <f>IF(OR(I101="",K101&lt;&gt;""),"",I101-TODAY())</f>
      </c>
      <c r="N101" s="8">
        <f>IF(E101="","",IF(K101&lt;&gt;"",IF(L101="","Preuve à joindre","Levée"),IF(I101="","À planifier",IF(M101&lt;0,"En retard","En cours"))))</f>
      </c>
    </row>
    <row r="102" spans="1:14" x14ac:dyDescent="0.25">
      <c r="A102" s="5">
        <v>98</v>
      </c>
      <c r="B102" s="6"/>
      <c r="C102" s="5"/>
      <c r="D102" s="5"/>
      <c r="E102" s="7"/>
      <c r="F102" s="5"/>
      <c r="G102" s="7"/>
      <c r="H102" s="5"/>
      <c r="I102" s="6"/>
      <c r="J102" s="5"/>
      <c r="K102" s="6"/>
      <c r="L102" s="7"/>
      <c r="M102" s="8">
        <f>IF(OR(I102="",K102&lt;&gt;""),"",I102-TODAY())</f>
      </c>
      <c r="N102" s="8">
        <f>IF(E102="","",IF(K102&lt;&gt;"",IF(L102="","Preuve à joindre","Levée"),IF(I102="","À planifier",IF(M102&lt;0,"En retard","En cours"))))</f>
      </c>
    </row>
    <row r="103" spans="1:14" x14ac:dyDescent="0.25">
      <c r="A103" s="5">
        <v>99</v>
      </c>
      <c r="B103" s="6"/>
      <c r="C103" s="5"/>
      <c r="D103" s="5"/>
      <c r="E103" s="7"/>
      <c r="F103" s="5"/>
      <c r="G103" s="7"/>
      <c r="H103" s="5"/>
      <c r="I103" s="6"/>
      <c r="J103" s="5"/>
      <c r="K103" s="6"/>
      <c r="L103" s="7"/>
      <c r="M103" s="8">
        <f>IF(OR(I103="",K103&lt;&gt;""),"",I103-TODAY())</f>
      </c>
      <c r="N103" s="8">
        <f>IF(E103="","",IF(K103&lt;&gt;"",IF(L103="","Preuve à joindre","Levée"),IF(I103="","À planifier",IF(M103&lt;0,"En retard","En cours"))))</f>
      </c>
    </row>
    <row r="104" spans="1:14" x14ac:dyDescent="0.25">
      <c r="A104" s="5">
        <v>100</v>
      </c>
      <c r="B104" s="6"/>
      <c r="C104" s="5"/>
      <c r="D104" s="5"/>
      <c r="E104" s="7"/>
      <c r="F104" s="5"/>
      <c r="G104" s="7"/>
      <c r="H104" s="5"/>
      <c r="I104" s="6"/>
      <c r="J104" s="5"/>
      <c r="K104" s="6"/>
      <c r="L104" s="7"/>
      <c r="M104" s="8">
        <f>IF(OR(I104="",K104&lt;&gt;""),"",I104-TODAY())</f>
      </c>
      <c r="N104" s="8">
        <f>IF(E104="","",IF(K104&lt;&gt;"",IF(L104="","Preuve à joindre","Levée"),IF(I104="","À planifier",IF(M104&lt;0,"En retard","En cours"))))</f>
      </c>
    </row>
    <row r="105" spans="1:14" x14ac:dyDescent="0.25">
      <c r="A105" s="5">
        <v>101</v>
      </c>
      <c r="B105" s="6"/>
      <c r="C105" s="5"/>
      <c r="D105" s="5"/>
      <c r="E105" s="7"/>
      <c r="F105" s="5"/>
      <c r="G105" s="7"/>
      <c r="H105" s="5"/>
      <c r="I105" s="6"/>
      <c r="J105" s="5"/>
      <c r="K105" s="6"/>
      <c r="L105" s="7"/>
      <c r="M105" s="8">
        <f>IF(OR(I105="",K105&lt;&gt;""),"",I105-TODAY())</f>
      </c>
      <c r="N105" s="8">
        <f>IF(E105="","",IF(K105&lt;&gt;"",IF(L105="","Preuve à joindre","Levée"),IF(I105="","À planifier",IF(M105&lt;0,"En retard","En cours"))))</f>
      </c>
    </row>
    <row r="106" spans="1:14" x14ac:dyDescent="0.25">
      <c r="A106" s="5">
        <v>102</v>
      </c>
      <c r="B106" s="6"/>
      <c r="C106" s="5"/>
      <c r="D106" s="5"/>
      <c r="E106" s="7"/>
      <c r="F106" s="5"/>
      <c r="G106" s="7"/>
      <c r="H106" s="5"/>
      <c r="I106" s="6"/>
      <c r="J106" s="5"/>
      <c r="K106" s="6"/>
      <c r="L106" s="7"/>
      <c r="M106" s="8">
        <f>IF(OR(I106="",K106&lt;&gt;""),"",I106-TODAY())</f>
      </c>
      <c r="N106" s="8">
        <f>IF(E106="","",IF(K106&lt;&gt;"",IF(L106="","Preuve à joindre","Levée"),IF(I106="","À planifier",IF(M106&lt;0,"En retard","En cours"))))</f>
      </c>
    </row>
    <row r="107" spans="1:14" x14ac:dyDescent="0.25">
      <c r="A107" s="5">
        <v>103</v>
      </c>
      <c r="B107" s="6"/>
      <c r="C107" s="5"/>
      <c r="D107" s="5"/>
      <c r="E107" s="7"/>
      <c r="F107" s="5"/>
      <c r="G107" s="7"/>
      <c r="H107" s="5"/>
      <c r="I107" s="6"/>
      <c r="J107" s="5"/>
      <c r="K107" s="6"/>
      <c r="L107" s="7"/>
      <c r="M107" s="8">
        <f>IF(OR(I107="",K107&lt;&gt;""),"",I107-TODAY())</f>
      </c>
      <c r="N107" s="8">
        <f>IF(E107="","",IF(K107&lt;&gt;"",IF(L107="","Preuve à joindre","Levée"),IF(I107="","À planifier",IF(M107&lt;0,"En retard","En cours"))))</f>
      </c>
    </row>
    <row r="108" spans="1:14" x14ac:dyDescent="0.25">
      <c r="A108" s="5">
        <v>104</v>
      </c>
      <c r="B108" s="6"/>
      <c r="C108" s="5"/>
      <c r="D108" s="5"/>
      <c r="E108" s="7"/>
      <c r="F108" s="5"/>
      <c r="G108" s="7"/>
      <c r="H108" s="5"/>
      <c r="I108" s="6"/>
      <c r="J108" s="5"/>
      <c r="K108" s="6"/>
      <c r="L108" s="7"/>
      <c r="M108" s="8">
        <f>IF(OR(I108="",K108&lt;&gt;""),"",I108-TODAY())</f>
      </c>
      <c r="N108" s="8">
        <f>IF(E108="","",IF(K108&lt;&gt;"",IF(L108="","Preuve à joindre","Levée"),IF(I108="","À planifier",IF(M108&lt;0,"En retard","En cours"))))</f>
      </c>
    </row>
    <row r="109" spans="1:14" x14ac:dyDescent="0.25">
      <c r="A109" s="5">
        <v>105</v>
      </c>
      <c r="B109" s="6"/>
      <c r="C109" s="5"/>
      <c r="D109" s="5"/>
      <c r="E109" s="7"/>
      <c r="F109" s="5"/>
      <c r="G109" s="7"/>
      <c r="H109" s="5"/>
      <c r="I109" s="6"/>
      <c r="J109" s="5"/>
      <c r="K109" s="6"/>
      <c r="L109" s="7"/>
      <c r="M109" s="8">
        <f>IF(OR(I109="",K109&lt;&gt;""),"",I109-TODAY())</f>
      </c>
      <c r="N109" s="8">
        <f>IF(E109="","",IF(K109&lt;&gt;"",IF(L109="","Preuve à joindre","Levée"),IF(I109="","À planifier",IF(M109&lt;0,"En retard","En cours"))))</f>
      </c>
    </row>
    <row r="110" spans="1:14" x14ac:dyDescent="0.25">
      <c r="A110" s="5">
        <v>106</v>
      </c>
      <c r="B110" s="6"/>
      <c r="C110" s="5"/>
      <c r="D110" s="5"/>
      <c r="E110" s="7"/>
      <c r="F110" s="5"/>
      <c r="G110" s="7"/>
      <c r="H110" s="5"/>
      <c r="I110" s="6"/>
      <c r="J110" s="5"/>
      <c r="K110" s="6"/>
      <c r="L110" s="7"/>
      <c r="M110" s="8">
        <f>IF(OR(I110="",K110&lt;&gt;""),"",I110-TODAY())</f>
      </c>
      <c r="N110" s="8">
        <f>IF(E110="","",IF(K110&lt;&gt;"",IF(L110="","Preuve à joindre","Levée"),IF(I110="","À planifier",IF(M110&lt;0,"En retard","En cours"))))</f>
      </c>
    </row>
    <row r="111" spans="1:14" x14ac:dyDescent="0.25">
      <c r="A111" s="5">
        <v>107</v>
      </c>
      <c r="B111" s="6"/>
      <c r="C111" s="5"/>
      <c r="D111" s="5"/>
      <c r="E111" s="7"/>
      <c r="F111" s="5"/>
      <c r="G111" s="7"/>
      <c r="H111" s="5"/>
      <c r="I111" s="6"/>
      <c r="J111" s="5"/>
      <c r="K111" s="6"/>
      <c r="L111" s="7"/>
      <c r="M111" s="8">
        <f>IF(OR(I111="",K111&lt;&gt;""),"",I111-TODAY())</f>
      </c>
      <c r="N111" s="8">
        <f>IF(E111="","",IF(K111&lt;&gt;"",IF(L111="","Preuve à joindre","Levée"),IF(I111="","À planifier",IF(M111&lt;0,"En retard","En cours"))))</f>
      </c>
    </row>
    <row r="112" spans="1:14" x14ac:dyDescent="0.25">
      <c r="A112" s="5">
        <v>108</v>
      </c>
      <c r="B112" s="6"/>
      <c r="C112" s="5"/>
      <c r="D112" s="5"/>
      <c r="E112" s="7"/>
      <c r="F112" s="5"/>
      <c r="G112" s="7"/>
      <c r="H112" s="5"/>
      <c r="I112" s="6"/>
      <c r="J112" s="5"/>
      <c r="K112" s="6"/>
      <c r="L112" s="7"/>
      <c r="M112" s="8">
        <f>IF(OR(I112="",K112&lt;&gt;""),"",I112-TODAY())</f>
      </c>
      <c r="N112" s="8">
        <f>IF(E112="","",IF(K112&lt;&gt;"",IF(L112="","Preuve à joindre","Levée"),IF(I112="","À planifier",IF(M112&lt;0,"En retard","En cours"))))</f>
      </c>
    </row>
    <row r="113" spans="1:14" x14ac:dyDescent="0.25">
      <c r="A113" s="5">
        <v>109</v>
      </c>
      <c r="B113" s="6"/>
      <c r="C113" s="5"/>
      <c r="D113" s="5"/>
      <c r="E113" s="7"/>
      <c r="F113" s="5"/>
      <c r="G113" s="7"/>
      <c r="H113" s="5"/>
      <c r="I113" s="6"/>
      <c r="J113" s="5"/>
      <c r="K113" s="6"/>
      <c r="L113" s="7"/>
      <c r="M113" s="8">
        <f>IF(OR(I113="",K113&lt;&gt;""),"",I113-TODAY())</f>
      </c>
      <c r="N113" s="8">
        <f>IF(E113="","",IF(K113&lt;&gt;"",IF(L113="","Preuve à joindre","Levée"),IF(I113="","À planifier",IF(M113&lt;0,"En retard","En cours"))))</f>
      </c>
    </row>
    <row r="114" spans="1:14" x14ac:dyDescent="0.25">
      <c r="A114" s="5">
        <v>110</v>
      </c>
      <c r="B114" s="6"/>
      <c r="C114" s="5"/>
      <c r="D114" s="5"/>
      <c r="E114" s="7"/>
      <c r="F114" s="5"/>
      <c r="G114" s="7"/>
      <c r="H114" s="5"/>
      <c r="I114" s="6"/>
      <c r="J114" s="5"/>
      <c r="K114" s="6"/>
      <c r="L114" s="7"/>
      <c r="M114" s="8">
        <f>IF(OR(I114="",K114&lt;&gt;""),"",I114-TODAY())</f>
      </c>
      <c r="N114" s="8">
        <f>IF(E114="","",IF(K114&lt;&gt;"",IF(L114="","Preuve à joindre","Levée"),IF(I114="","À planifier",IF(M114&lt;0,"En retard","En cours"))))</f>
      </c>
    </row>
    <row r="115" spans="1:14" x14ac:dyDescent="0.25">
      <c r="A115" s="5">
        <v>111</v>
      </c>
      <c r="B115" s="6"/>
      <c r="C115" s="5"/>
      <c r="D115" s="5"/>
      <c r="E115" s="7"/>
      <c r="F115" s="5"/>
      <c r="G115" s="7"/>
      <c r="H115" s="5"/>
      <c r="I115" s="6"/>
      <c r="J115" s="5"/>
      <c r="K115" s="6"/>
      <c r="L115" s="7"/>
      <c r="M115" s="8">
        <f>IF(OR(I115="",K115&lt;&gt;""),"",I115-TODAY())</f>
      </c>
      <c r="N115" s="8">
        <f>IF(E115="","",IF(K115&lt;&gt;"",IF(L115="","Preuve à joindre","Levée"),IF(I115="","À planifier",IF(M115&lt;0,"En retard","En cours"))))</f>
      </c>
    </row>
    <row r="116" spans="1:14" x14ac:dyDescent="0.25">
      <c r="A116" s="5">
        <v>112</v>
      </c>
      <c r="B116" s="6"/>
      <c r="C116" s="5"/>
      <c r="D116" s="5"/>
      <c r="E116" s="7"/>
      <c r="F116" s="5"/>
      <c r="G116" s="7"/>
      <c r="H116" s="5"/>
      <c r="I116" s="6"/>
      <c r="J116" s="5"/>
      <c r="K116" s="6"/>
      <c r="L116" s="7"/>
      <c r="M116" s="8">
        <f>IF(OR(I116="",K116&lt;&gt;""),"",I116-TODAY())</f>
      </c>
      <c r="N116" s="8">
        <f>IF(E116="","",IF(K116&lt;&gt;"",IF(L116="","Preuve à joindre","Levée"),IF(I116="","À planifier",IF(M116&lt;0,"En retard","En cours"))))</f>
      </c>
    </row>
    <row r="117" spans="1:14" x14ac:dyDescent="0.25">
      <c r="A117" s="5">
        <v>113</v>
      </c>
      <c r="B117" s="6"/>
      <c r="C117" s="5"/>
      <c r="D117" s="5"/>
      <c r="E117" s="7"/>
      <c r="F117" s="5"/>
      <c r="G117" s="7"/>
      <c r="H117" s="5"/>
      <c r="I117" s="6"/>
      <c r="J117" s="5"/>
      <c r="K117" s="6"/>
      <c r="L117" s="7"/>
      <c r="M117" s="8">
        <f>IF(OR(I117="",K117&lt;&gt;""),"",I117-TODAY())</f>
      </c>
      <c r="N117" s="8">
        <f>IF(E117="","",IF(K117&lt;&gt;"",IF(L117="","Preuve à joindre","Levée"),IF(I117="","À planifier",IF(M117&lt;0,"En retard","En cours"))))</f>
      </c>
    </row>
    <row r="118" spans="1:14" x14ac:dyDescent="0.25">
      <c r="A118" s="5">
        <v>114</v>
      </c>
      <c r="B118" s="6"/>
      <c r="C118" s="5"/>
      <c r="D118" s="5"/>
      <c r="E118" s="7"/>
      <c r="F118" s="5"/>
      <c r="G118" s="7"/>
      <c r="H118" s="5"/>
      <c r="I118" s="6"/>
      <c r="J118" s="5"/>
      <c r="K118" s="6"/>
      <c r="L118" s="7"/>
      <c r="M118" s="8">
        <f>IF(OR(I118="",K118&lt;&gt;""),"",I118-TODAY())</f>
      </c>
      <c r="N118" s="8">
        <f>IF(E118="","",IF(K118&lt;&gt;"",IF(L118="","Preuve à joindre","Levée"),IF(I118="","À planifier",IF(M118&lt;0,"En retard","En cours"))))</f>
      </c>
    </row>
    <row r="119" spans="1:14" x14ac:dyDescent="0.25">
      <c r="A119" s="5">
        <v>115</v>
      </c>
      <c r="B119" s="6"/>
      <c r="C119" s="5"/>
      <c r="D119" s="5"/>
      <c r="E119" s="7"/>
      <c r="F119" s="5"/>
      <c r="G119" s="7"/>
      <c r="H119" s="5"/>
      <c r="I119" s="6"/>
      <c r="J119" s="5"/>
      <c r="K119" s="6"/>
      <c r="L119" s="7"/>
      <c r="M119" s="8">
        <f>IF(OR(I119="",K119&lt;&gt;""),"",I119-TODAY())</f>
      </c>
      <c r="N119" s="8">
        <f>IF(E119="","",IF(K119&lt;&gt;"",IF(L119="","Preuve à joindre","Levée"),IF(I119="","À planifier",IF(M119&lt;0,"En retard","En cours"))))</f>
      </c>
    </row>
    <row r="120" spans="1:14" x14ac:dyDescent="0.25">
      <c r="A120" s="5">
        <v>116</v>
      </c>
      <c r="B120" s="6"/>
      <c r="C120" s="5"/>
      <c r="D120" s="5"/>
      <c r="E120" s="7"/>
      <c r="F120" s="5"/>
      <c r="G120" s="7"/>
      <c r="H120" s="5"/>
      <c r="I120" s="6"/>
      <c r="J120" s="5"/>
      <c r="K120" s="6"/>
      <c r="L120" s="7"/>
      <c r="M120" s="8">
        <f>IF(OR(I120="",K120&lt;&gt;""),"",I120-TODAY())</f>
      </c>
      <c r="N120" s="8">
        <f>IF(E120="","",IF(K120&lt;&gt;"",IF(L120="","Preuve à joindre","Levée"),IF(I120="","À planifier",IF(M120&lt;0,"En retard","En cours"))))</f>
      </c>
    </row>
    <row r="121" spans="1:14" x14ac:dyDescent="0.25">
      <c r="A121" s="5">
        <v>117</v>
      </c>
      <c r="B121" s="6"/>
      <c r="C121" s="5"/>
      <c r="D121" s="5"/>
      <c r="E121" s="7"/>
      <c r="F121" s="5"/>
      <c r="G121" s="7"/>
      <c r="H121" s="5"/>
      <c r="I121" s="6"/>
      <c r="J121" s="5"/>
      <c r="K121" s="6"/>
      <c r="L121" s="7"/>
      <c r="M121" s="8">
        <f>IF(OR(I121="",K121&lt;&gt;""),"",I121-TODAY())</f>
      </c>
      <c r="N121" s="8">
        <f>IF(E121="","",IF(K121&lt;&gt;"",IF(L121="","Preuve à joindre","Levée"),IF(I121="","À planifier",IF(M121&lt;0,"En retard","En cours"))))</f>
      </c>
    </row>
    <row r="122" spans="1:14" x14ac:dyDescent="0.25">
      <c r="A122" s="5">
        <v>118</v>
      </c>
      <c r="B122" s="6"/>
      <c r="C122" s="5"/>
      <c r="D122" s="5"/>
      <c r="E122" s="7"/>
      <c r="F122" s="5"/>
      <c r="G122" s="7"/>
      <c r="H122" s="5"/>
      <c r="I122" s="6"/>
      <c r="J122" s="5"/>
      <c r="K122" s="6"/>
      <c r="L122" s="7"/>
      <c r="M122" s="8">
        <f>IF(OR(I122="",K122&lt;&gt;""),"",I122-TODAY())</f>
      </c>
      <c r="N122" s="8">
        <f>IF(E122="","",IF(K122&lt;&gt;"",IF(L122="","Preuve à joindre","Levée"),IF(I122="","À planifier",IF(M122&lt;0,"En retard","En cours"))))</f>
      </c>
    </row>
    <row r="123" spans="1:14" x14ac:dyDescent="0.25">
      <c r="A123" s="5">
        <v>119</v>
      </c>
      <c r="B123" s="6"/>
      <c r="C123" s="5"/>
      <c r="D123" s="5"/>
      <c r="E123" s="7"/>
      <c r="F123" s="5"/>
      <c r="G123" s="7"/>
      <c r="H123" s="5"/>
      <c r="I123" s="6"/>
      <c r="J123" s="5"/>
      <c r="K123" s="6"/>
      <c r="L123" s="7"/>
      <c r="M123" s="8">
        <f>IF(OR(I123="",K123&lt;&gt;""),"",I123-TODAY())</f>
      </c>
      <c r="N123" s="8">
        <f>IF(E123="","",IF(K123&lt;&gt;"",IF(L123="","Preuve à joindre","Levée"),IF(I123="","À planifier",IF(M123&lt;0,"En retard","En cours"))))</f>
      </c>
    </row>
    <row r="124" spans="1:14" x14ac:dyDescent="0.25">
      <c r="A124" s="5">
        <v>120</v>
      </c>
      <c r="B124" s="6"/>
      <c r="C124" s="5"/>
      <c r="D124" s="5"/>
      <c r="E124" s="7"/>
      <c r="F124" s="5"/>
      <c r="G124" s="7"/>
      <c r="H124" s="5"/>
      <c r="I124" s="6"/>
      <c r="J124" s="5"/>
      <c r="K124" s="6"/>
      <c r="L124" s="7"/>
      <c r="M124" s="8">
        <f>IF(OR(I124="",K124&lt;&gt;""),"",I124-TODAY())</f>
      </c>
      <c r="N124" s="8">
        <f>IF(E124="","",IF(K124&lt;&gt;"",IF(L124="","Preuve à joindre","Levée"),IF(I124="","À planifier",IF(M124&lt;0,"En retard","En cours"))))</f>
      </c>
    </row>
    <row r="125" spans="1:14" x14ac:dyDescent="0.25">
      <c r="A125" s="5">
        <v>121</v>
      </c>
      <c r="B125" s="6"/>
      <c r="C125" s="5"/>
      <c r="D125" s="5"/>
      <c r="E125" s="7"/>
      <c r="F125" s="5"/>
      <c r="G125" s="7"/>
      <c r="H125" s="5"/>
      <c r="I125" s="6"/>
      <c r="J125" s="5"/>
      <c r="K125" s="6"/>
      <c r="L125" s="7"/>
      <c r="M125" s="8">
        <f>IF(OR(I125="",K125&lt;&gt;""),"",I125-TODAY())</f>
      </c>
      <c r="N125" s="8">
        <f>IF(E125="","",IF(K125&lt;&gt;"",IF(L125="","Preuve à joindre","Levée"),IF(I125="","À planifier",IF(M125&lt;0,"En retard","En cours"))))</f>
      </c>
    </row>
    <row r="126" spans="1:14" x14ac:dyDescent="0.25">
      <c r="A126" s="5">
        <v>122</v>
      </c>
      <c r="B126" s="6"/>
      <c r="C126" s="5"/>
      <c r="D126" s="5"/>
      <c r="E126" s="7"/>
      <c r="F126" s="5"/>
      <c r="G126" s="7"/>
      <c r="H126" s="5"/>
      <c r="I126" s="6"/>
      <c r="J126" s="5"/>
      <c r="K126" s="6"/>
      <c r="L126" s="7"/>
      <c r="M126" s="8">
        <f>IF(OR(I126="",K126&lt;&gt;""),"",I126-TODAY())</f>
      </c>
      <c r="N126" s="8">
        <f>IF(E126="","",IF(K126&lt;&gt;"",IF(L126="","Preuve à joindre","Levée"),IF(I126="","À planifier",IF(M126&lt;0,"En retard","En cours"))))</f>
      </c>
    </row>
    <row r="127" spans="1:14" x14ac:dyDescent="0.25">
      <c r="A127" s="5">
        <v>123</v>
      </c>
      <c r="B127" s="6"/>
      <c r="C127" s="5"/>
      <c r="D127" s="5"/>
      <c r="E127" s="7"/>
      <c r="F127" s="5"/>
      <c r="G127" s="7"/>
      <c r="H127" s="5"/>
      <c r="I127" s="6"/>
      <c r="J127" s="5"/>
      <c r="K127" s="6"/>
      <c r="L127" s="7"/>
      <c r="M127" s="8">
        <f>IF(OR(I127="",K127&lt;&gt;""),"",I127-TODAY())</f>
      </c>
      <c r="N127" s="8">
        <f>IF(E127="","",IF(K127&lt;&gt;"",IF(L127="","Preuve à joindre","Levée"),IF(I127="","À planifier",IF(M127&lt;0,"En retard","En cours"))))</f>
      </c>
    </row>
    <row r="128" spans="1:14" x14ac:dyDescent="0.25">
      <c r="A128" s="5">
        <v>124</v>
      </c>
      <c r="B128" s="6"/>
      <c r="C128" s="5"/>
      <c r="D128" s="5"/>
      <c r="E128" s="7"/>
      <c r="F128" s="5"/>
      <c r="G128" s="7"/>
      <c r="H128" s="5"/>
      <c r="I128" s="6"/>
      <c r="J128" s="5"/>
      <c r="K128" s="6"/>
      <c r="L128" s="7"/>
      <c r="M128" s="8">
        <f>IF(OR(I128="",K128&lt;&gt;""),"",I128-TODAY())</f>
      </c>
      <c r="N128" s="8">
        <f>IF(E128="","",IF(K128&lt;&gt;"",IF(L128="","Preuve à joindre","Levée"),IF(I128="","À planifier",IF(M128&lt;0,"En retard","En cours"))))</f>
      </c>
    </row>
    <row r="129" spans="1:14" x14ac:dyDescent="0.25">
      <c r="A129" s="5">
        <v>125</v>
      </c>
      <c r="B129" s="6"/>
      <c r="C129" s="5"/>
      <c r="D129" s="5"/>
      <c r="E129" s="7"/>
      <c r="F129" s="5"/>
      <c r="G129" s="7"/>
      <c r="H129" s="5"/>
      <c r="I129" s="6"/>
      <c r="J129" s="5"/>
      <c r="K129" s="6"/>
      <c r="L129" s="7"/>
      <c r="M129" s="8">
        <f>IF(OR(I129="",K129&lt;&gt;""),"",I129-TODAY())</f>
      </c>
      <c r="N129" s="8">
        <f>IF(E129="","",IF(K129&lt;&gt;"",IF(L129="","Preuve à joindre","Levée"),IF(I129="","À planifier",IF(M129&lt;0,"En retard","En cours"))))</f>
      </c>
    </row>
    <row r="130" spans="1:14" x14ac:dyDescent="0.25">
      <c r="A130" s="5">
        <v>126</v>
      </c>
      <c r="B130" s="6"/>
      <c r="C130" s="5"/>
      <c r="D130" s="5"/>
      <c r="E130" s="7"/>
      <c r="F130" s="5"/>
      <c r="G130" s="7"/>
      <c r="H130" s="5"/>
      <c r="I130" s="6"/>
      <c r="J130" s="5"/>
      <c r="K130" s="6"/>
      <c r="L130" s="7"/>
      <c r="M130" s="8">
        <f>IF(OR(I130="",K130&lt;&gt;""),"",I130-TODAY())</f>
      </c>
      <c r="N130" s="8">
        <f>IF(E130="","",IF(K130&lt;&gt;"",IF(L130="","Preuve à joindre","Levée"),IF(I130="","À planifier",IF(M130&lt;0,"En retard","En cours"))))</f>
      </c>
    </row>
    <row r="131" spans="1:14" x14ac:dyDescent="0.25">
      <c r="A131" s="5">
        <v>127</v>
      </c>
      <c r="B131" s="6"/>
      <c r="C131" s="5"/>
      <c r="D131" s="5"/>
      <c r="E131" s="7"/>
      <c r="F131" s="5"/>
      <c r="G131" s="7"/>
      <c r="H131" s="5"/>
      <c r="I131" s="6"/>
      <c r="J131" s="5"/>
      <c r="K131" s="6"/>
      <c r="L131" s="7"/>
      <c r="M131" s="8">
        <f>IF(OR(I131="",K131&lt;&gt;""),"",I131-TODAY())</f>
      </c>
      <c r="N131" s="8">
        <f>IF(E131="","",IF(K131&lt;&gt;"",IF(L131="","Preuve à joindre","Levée"),IF(I131="","À planifier",IF(M131&lt;0,"En retard","En cours"))))</f>
      </c>
    </row>
    <row r="132" spans="1:14" x14ac:dyDescent="0.25">
      <c r="A132" s="5">
        <v>128</v>
      </c>
      <c r="B132" s="6"/>
      <c r="C132" s="5"/>
      <c r="D132" s="5"/>
      <c r="E132" s="7"/>
      <c r="F132" s="5"/>
      <c r="G132" s="7"/>
      <c r="H132" s="5"/>
      <c r="I132" s="6"/>
      <c r="J132" s="5"/>
      <c r="K132" s="6"/>
      <c r="L132" s="7"/>
      <c r="M132" s="8">
        <f>IF(OR(I132="",K132&lt;&gt;""),"",I132-TODAY())</f>
      </c>
      <c r="N132" s="8">
        <f>IF(E132="","",IF(K132&lt;&gt;"",IF(L132="","Preuve à joindre","Levée"),IF(I132="","À planifier",IF(M132&lt;0,"En retard","En cours"))))</f>
      </c>
    </row>
    <row r="133" spans="1:14" x14ac:dyDescent="0.25">
      <c r="A133" s="5">
        <v>129</v>
      </c>
      <c r="B133" s="6"/>
      <c r="C133" s="5"/>
      <c r="D133" s="5"/>
      <c r="E133" s="7"/>
      <c r="F133" s="5"/>
      <c r="G133" s="7"/>
      <c r="H133" s="5"/>
      <c r="I133" s="6"/>
      <c r="J133" s="5"/>
      <c r="K133" s="6"/>
      <c r="L133" s="7"/>
      <c r="M133" s="8">
        <f>IF(OR(I133="",K133&lt;&gt;""),"",I133-TODAY())</f>
      </c>
      <c r="N133" s="8">
        <f>IF(E133="","",IF(K133&lt;&gt;"",IF(L133="","Preuve à joindre","Levée"),IF(I133="","À planifier",IF(M133&lt;0,"En retard","En cours"))))</f>
      </c>
    </row>
    <row r="134" spans="1:14" x14ac:dyDescent="0.25">
      <c r="A134" s="5">
        <v>130</v>
      </c>
      <c r="B134" s="6"/>
      <c r="C134" s="5"/>
      <c r="D134" s="5"/>
      <c r="E134" s="7"/>
      <c r="F134" s="5"/>
      <c r="G134" s="7"/>
      <c r="H134" s="5"/>
      <c r="I134" s="6"/>
      <c r="J134" s="5"/>
      <c r="K134" s="6"/>
      <c r="L134" s="7"/>
      <c r="M134" s="8">
        <f>IF(OR(I134="",K134&lt;&gt;""),"",I134-TODAY())</f>
      </c>
      <c r="N134" s="8">
        <f>IF(E134="","",IF(K134&lt;&gt;"",IF(L134="","Preuve à joindre","Levée"),IF(I134="","À planifier",IF(M134&lt;0,"En retard","En cours"))))</f>
      </c>
    </row>
    <row r="135" spans="1:14" x14ac:dyDescent="0.25">
      <c r="A135" s="5">
        <v>131</v>
      </c>
      <c r="B135" s="6"/>
      <c r="C135" s="5"/>
      <c r="D135" s="5"/>
      <c r="E135" s="7"/>
      <c r="F135" s="5"/>
      <c r="G135" s="7"/>
      <c r="H135" s="5"/>
      <c r="I135" s="6"/>
      <c r="J135" s="5"/>
      <c r="K135" s="6"/>
      <c r="L135" s="7"/>
      <c r="M135" s="8">
        <f>IF(OR(I135="",K135&lt;&gt;""),"",I135-TODAY())</f>
      </c>
      <c r="N135" s="8">
        <f>IF(E135="","",IF(K135&lt;&gt;"",IF(L135="","Preuve à joindre","Levée"),IF(I135="","À planifier",IF(M135&lt;0,"En retard","En cours"))))</f>
      </c>
    </row>
    <row r="136" spans="1:14" x14ac:dyDescent="0.25">
      <c r="A136" s="5">
        <v>132</v>
      </c>
      <c r="B136" s="6"/>
      <c r="C136" s="5"/>
      <c r="D136" s="5"/>
      <c r="E136" s="7"/>
      <c r="F136" s="5"/>
      <c r="G136" s="7"/>
      <c r="H136" s="5"/>
      <c r="I136" s="6"/>
      <c r="J136" s="5"/>
      <c r="K136" s="6"/>
      <c r="L136" s="7"/>
      <c r="M136" s="8">
        <f>IF(OR(I136="",K136&lt;&gt;""),"",I136-TODAY())</f>
      </c>
      <c r="N136" s="8">
        <f>IF(E136="","",IF(K136&lt;&gt;"",IF(L136="","Preuve à joindre","Levée"),IF(I136="","À planifier",IF(M136&lt;0,"En retard","En cours"))))</f>
      </c>
    </row>
    <row r="137" spans="1:14" x14ac:dyDescent="0.25">
      <c r="A137" s="5">
        <v>133</v>
      </c>
      <c r="B137" s="6"/>
      <c r="C137" s="5"/>
      <c r="D137" s="5"/>
      <c r="E137" s="7"/>
      <c r="F137" s="5"/>
      <c r="G137" s="7"/>
      <c r="H137" s="5"/>
      <c r="I137" s="6"/>
      <c r="J137" s="5"/>
      <c r="K137" s="6"/>
      <c r="L137" s="7"/>
      <c r="M137" s="8">
        <f>IF(OR(I137="",K137&lt;&gt;""),"",I137-TODAY())</f>
      </c>
      <c r="N137" s="8">
        <f>IF(E137="","",IF(K137&lt;&gt;"",IF(L137="","Preuve à joindre","Levée"),IF(I137="","À planifier",IF(M137&lt;0,"En retard","En cours"))))</f>
      </c>
    </row>
    <row r="138" spans="1:14" x14ac:dyDescent="0.25">
      <c r="A138" s="5">
        <v>134</v>
      </c>
      <c r="B138" s="6"/>
      <c r="C138" s="5"/>
      <c r="D138" s="5"/>
      <c r="E138" s="7"/>
      <c r="F138" s="5"/>
      <c r="G138" s="7"/>
      <c r="H138" s="5"/>
      <c r="I138" s="6"/>
      <c r="J138" s="5"/>
      <c r="K138" s="6"/>
      <c r="L138" s="7"/>
      <c r="M138" s="8">
        <f>IF(OR(I138="",K138&lt;&gt;""),"",I138-TODAY())</f>
      </c>
      <c r="N138" s="8">
        <f>IF(E138="","",IF(K138&lt;&gt;"",IF(L138="","Preuve à joindre","Levée"),IF(I138="","À planifier",IF(M138&lt;0,"En retard","En cours"))))</f>
      </c>
    </row>
    <row r="139" spans="1:14" x14ac:dyDescent="0.25">
      <c r="A139" s="5">
        <v>135</v>
      </c>
      <c r="B139" s="6"/>
      <c r="C139" s="5"/>
      <c r="D139" s="5"/>
      <c r="E139" s="7"/>
      <c r="F139" s="5"/>
      <c r="G139" s="7"/>
      <c r="H139" s="5"/>
      <c r="I139" s="6"/>
      <c r="J139" s="5"/>
      <c r="K139" s="6"/>
      <c r="L139" s="7"/>
      <c r="M139" s="8">
        <f>IF(OR(I139="",K139&lt;&gt;""),"",I139-TODAY())</f>
      </c>
      <c r="N139" s="8">
        <f>IF(E139="","",IF(K139&lt;&gt;"",IF(L139="","Preuve à joindre","Levée"),IF(I139="","À planifier",IF(M139&lt;0,"En retard","En cours"))))</f>
      </c>
    </row>
    <row r="140" spans="1:14" x14ac:dyDescent="0.25">
      <c r="A140" s="5">
        <v>136</v>
      </c>
      <c r="B140" s="6"/>
      <c r="C140" s="5"/>
      <c r="D140" s="5"/>
      <c r="E140" s="7"/>
      <c r="F140" s="5"/>
      <c r="G140" s="7"/>
      <c r="H140" s="5"/>
      <c r="I140" s="6"/>
      <c r="J140" s="5"/>
      <c r="K140" s="6"/>
      <c r="L140" s="7"/>
      <c r="M140" s="8">
        <f>IF(OR(I140="",K140&lt;&gt;""),"",I140-TODAY())</f>
      </c>
      <c r="N140" s="8">
        <f>IF(E140="","",IF(K140&lt;&gt;"",IF(L140="","Preuve à joindre","Levée"),IF(I140="","À planifier",IF(M140&lt;0,"En retard","En cours"))))</f>
      </c>
    </row>
    <row r="141" spans="1:14" x14ac:dyDescent="0.25">
      <c r="A141" s="5">
        <v>137</v>
      </c>
      <c r="B141" s="6"/>
      <c r="C141" s="5"/>
      <c r="D141" s="5"/>
      <c r="E141" s="7"/>
      <c r="F141" s="5"/>
      <c r="G141" s="7"/>
      <c r="H141" s="5"/>
      <c r="I141" s="6"/>
      <c r="J141" s="5"/>
      <c r="K141" s="6"/>
      <c r="L141" s="7"/>
      <c r="M141" s="8">
        <f>IF(OR(I141="",K141&lt;&gt;""),"",I141-TODAY())</f>
      </c>
      <c r="N141" s="8">
        <f>IF(E141="","",IF(K141&lt;&gt;"",IF(L141="","Preuve à joindre","Levée"),IF(I141="","À planifier",IF(M141&lt;0,"En retard","En cours"))))</f>
      </c>
    </row>
    <row r="142" spans="1:14" x14ac:dyDescent="0.25">
      <c r="A142" s="5">
        <v>138</v>
      </c>
      <c r="B142" s="6"/>
      <c r="C142" s="5"/>
      <c r="D142" s="5"/>
      <c r="E142" s="7"/>
      <c r="F142" s="5"/>
      <c r="G142" s="7"/>
      <c r="H142" s="5"/>
      <c r="I142" s="6"/>
      <c r="J142" s="5"/>
      <c r="K142" s="6"/>
      <c r="L142" s="7"/>
      <c r="M142" s="8">
        <f>IF(OR(I142="",K142&lt;&gt;""),"",I142-TODAY())</f>
      </c>
      <c r="N142" s="8">
        <f>IF(E142="","",IF(K142&lt;&gt;"",IF(L142="","Preuve à joindre","Levée"),IF(I142="","À planifier",IF(M142&lt;0,"En retard","En cours"))))</f>
      </c>
    </row>
    <row r="143" spans="1:14" x14ac:dyDescent="0.25">
      <c r="A143" s="5">
        <v>139</v>
      </c>
      <c r="B143" s="6"/>
      <c r="C143" s="5"/>
      <c r="D143" s="5"/>
      <c r="E143" s="7"/>
      <c r="F143" s="5"/>
      <c r="G143" s="7"/>
      <c r="H143" s="5"/>
      <c r="I143" s="6"/>
      <c r="J143" s="5"/>
      <c r="K143" s="6"/>
      <c r="L143" s="7"/>
      <c r="M143" s="8">
        <f>IF(OR(I143="",K143&lt;&gt;""),"",I143-TODAY())</f>
      </c>
      <c r="N143" s="8">
        <f>IF(E143="","",IF(K143&lt;&gt;"",IF(L143="","Preuve à joindre","Levée"),IF(I143="","À planifier",IF(M143&lt;0,"En retard","En cours"))))</f>
      </c>
    </row>
    <row r="144" spans="1:14" x14ac:dyDescent="0.25">
      <c r="A144" s="5">
        <v>140</v>
      </c>
      <c r="B144" s="6"/>
      <c r="C144" s="5"/>
      <c r="D144" s="5"/>
      <c r="E144" s="7"/>
      <c r="F144" s="5"/>
      <c r="G144" s="7"/>
      <c r="H144" s="5"/>
      <c r="I144" s="6"/>
      <c r="J144" s="5"/>
      <c r="K144" s="6"/>
      <c r="L144" s="7"/>
      <c r="M144" s="8">
        <f>IF(OR(I144="",K144&lt;&gt;""),"",I144-TODAY())</f>
      </c>
      <c r="N144" s="8">
        <f>IF(E144="","",IF(K144&lt;&gt;"",IF(L144="","Preuve à joindre","Levée"),IF(I144="","À planifier",IF(M144&lt;0,"En retard","En cours"))))</f>
      </c>
    </row>
    <row r="145" spans="1:14" x14ac:dyDescent="0.25">
      <c r="A145" s="5">
        <v>141</v>
      </c>
      <c r="B145" s="6"/>
      <c r="C145" s="5"/>
      <c r="D145" s="5"/>
      <c r="E145" s="7"/>
      <c r="F145" s="5"/>
      <c r="G145" s="7"/>
      <c r="H145" s="5"/>
      <c r="I145" s="6"/>
      <c r="J145" s="5"/>
      <c r="K145" s="6"/>
      <c r="L145" s="7"/>
      <c r="M145" s="8">
        <f>IF(OR(I145="",K145&lt;&gt;""),"",I145-TODAY())</f>
      </c>
      <c r="N145" s="8">
        <f>IF(E145="","",IF(K145&lt;&gt;"",IF(L145="","Preuve à joindre","Levée"),IF(I145="","À planifier",IF(M145&lt;0,"En retard","En cours"))))</f>
      </c>
    </row>
    <row r="146" spans="1:14" x14ac:dyDescent="0.25">
      <c r="A146" s="5">
        <v>142</v>
      </c>
      <c r="B146" s="6"/>
      <c r="C146" s="5"/>
      <c r="D146" s="5"/>
      <c r="E146" s="7"/>
      <c r="F146" s="5"/>
      <c r="G146" s="7"/>
      <c r="H146" s="5"/>
      <c r="I146" s="6"/>
      <c r="J146" s="5"/>
      <c r="K146" s="6"/>
      <c r="L146" s="7"/>
      <c r="M146" s="8">
        <f>IF(OR(I146="",K146&lt;&gt;""),"",I146-TODAY())</f>
      </c>
      <c r="N146" s="8">
        <f>IF(E146="","",IF(K146&lt;&gt;"",IF(L146="","Preuve à joindre","Levée"),IF(I146="","À planifier",IF(M146&lt;0,"En retard","En cours"))))</f>
      </c>
    </row>
    <row r="147" spans="1:14" x14ac:dyDescent="0.25">
      <c r="A147" s="5">
        <v>143</v>
      </c>
      <c r="B147" s="6"/>
      <c r="C147" s="5"/>
      <c r="D147" s="5"/>
      <c r="E147" s="7"/>
      <c r="F147" s="5"/>
      <c r="G147" s="7"/>
      <c r="H147" s="5"/>
      <c r="I147" s="6"/>
      <c r="J147" s="5"/>
      <c r="K147" s="6"/>
      <c r="L147" s="7"/>
      <c r="M147" s="8">
        <f>IF(OR(I147="",K147&lt;&gt;""),"",I147-TODAY())</f>
      </c>
      <c r="N147" s="8">
        <f>IF(E147="","",IF(K147&lt;&gt;"",IF(L147="","Preuve à joindre","Levée"),IF(I147="","À planifier",IF(M147&lt;0,"En retard","En cours"))))</f>
      </c>
    </row>
    <row r="148" spans="1:14" x14ac:dyDescent="0.25">
      <c r="A148" s="5">
        <v>144</v>
      </c>
      <c r="B148" s="6"/>
      <c r="C148" s="5"/>
      <c r="D148" s="5"/>
      <c r="E148" s="7"/>
      <c r="F148" s="5"/>
      <c r="G148" s="7"/>
      <c r="H148" s="5"/>
      <c r="I148" s="6"/>
      <c r="J148" s="5"/>
      <c r="K148" s="6"/>
      <c r="L148" s="7"/>
      <c r="M148" s="8">
        <f>IF(OR(I148="",K148&lt;&gt;""),"",I148-TODAY())</f>
      </c>
      <c r="N148" s="8">
        <f>IF(E148="","",IF(K148&lt;&gt;"",IF(L148="","Preuve à joindre","Levée"),IF(I148="","À planifier",IF(M148&lt;0,"En retard","En cours"))))</f>
      </c>
    </row>
    <row r="149" spans="1:14" x14ac:dyDescent="0.25">
      <c r="A149" s="5">
        <v>145</v>
      </c>
      <c r="B149" s="6"/>
      <c r="C149" s="5"/>
      <c r="D149" s="5"/>
      <c r="E149" s="7"/>
      <c r="F149" s="5"/>
      <c r="G149" s="7"/>
      <c r="H149" s="5"/>
      <c r="I149" s="6"/>
      <c r="J149" s="5"/>
      <c r="K149" s="6"/>
      <c r="L149" s="7"/>
      <c r="M149" s="8">
        <f>IF(OR(I149="",K149&lt;&gt;""),"",I149-TODAY())</f>
      </c>
      <c r="N149" s="8">
        <f>IF(E149="","",IF(K149&lt;&gt;"",IF(L149="","Preuve à joindre","Levée"),IF(I149="","À planifier",IF(M149&lt;0,"En retard","En cours"))))</f>
      </c>
    </row>
    <row r="150" spans="1:14" x14ac:dyDescent="0.25">
      <c r="A150" s="5">
        <v>146</v>
      </c>
      <c r="B150" s="6"/>
      <c r="C150" s="5"/>
      <c r="D150" s="5"/>
      <c r="E150" s="7"/>
      <c r="F150" s="5"/>
      <c r="G150" s="7"/>
      <c r="H150" s="5"/>
      <c r="I150" s="6"/>
      <c r="J150" s="5"/>
      <c r="K150" s="6"/>
      <c r="L150" s="7"/>
      <c r="M150" s="8">
        <f>IF(OR(I150="",K150&lt;&gt;""),"",I150-TODAY())</f>
      </c>
      <c r="N150" s="8">
        <f>IF(E150="","",IF(K150&lt;&gt;"",IF(L150="","Preuve à joindre","Levée"),IF(I150="","À planifier",IF(M150&lt;0,"En retard","En cours"))))</f>
      </c>
    </row>
    <row r="151" spans="1:14" x14ac:dyDescent="0.25">
      <c r="A151" s="5">
        <v>147</v>
      </c>
      <c r="B151" s="6"/>
      <c r="C151" s="5"/>
      <c r="D151" s="5"/>
      <c r="E151" s="7"/>
      <c r="F151" s="5"/>
      <c r="G151" s="7"/>
      <c r="H151" s="5"/>
      <c r="I151" s="6"/>
      <c r="J151" s="5"/>
      <c r="K151" s="6"/>
      <c r="L151" s="7"/>
      <c r="M151" s="8">
        <f>IF(OR(I151="",K151&lt;&gt;""),"",I151-TODAY())</f>
      </c>
      <c r="N151" s="8">
        <f>IF(E151="","",IF(K151&lt;&gt;"",IF(L151="","Preuve à joindre","Levée"),IF(I151="","À planifier",IF(M151&lt;0,"En retard","En cours"))))</f>
      </c>
    </row>
    <row r="152" spans="1:14" x14ac:dyDescent="0.25">
      <c r="A152" s="5">
        <v>148</v>
      </c>
      <c r="B152" s="6"/>
      <c r="C152" s="5"/>
      <c r="D152" s="5"/>
      <c r="E152" s="7"/>
      <c r="F152" s="5"/>
      <c r="G152" s="7"/>
      <c r="H152" s="5"/>
      <c r="I152" s="6"/>
      <c r="J152" s="5"/>
      <c r="K152" s="6"/>
      <c r="L152" s="7"/>
      <c r="M152" s="8">
        <f>IF(OR(I152="",K152&lt;&gt;""),"",I152-TODAY())</f>
      </c>
      <c r="N152" s="8">
        <f>IF(E152="","",IF(K152&lt;&gt;"",IF(L152="","Preuve à joindre","Levée"),IF(I152="","À planifier",IF(M152&lt;0,"En retard","En cours"))))</f>
      </c>
    </row>
    <row r="153" spans="1:14" x14ac:dyDescent="0.25">
      <c r="A153" s="5">
        <v>149</v>
      </c>
      <c r="B153" s="6"/>
      <c r="C153" s="5"/>
      <c r="D153" s="5"/>
      <c r="E153" s="7"/>
      <c r="F153" s="5"/>
      <c r="G153" s="7"/>
      <c r="H153" s="5"/>
      <c r="I153" s="6"/>
      <c r="J153" s="5"/>
      <c r="K153" s="6"/>
      <c r="L153" s="7"/>
      <c r="M153" s="8">
        <f>IF(OR(I153="",K153&lt;&gt;""),"",I153-TODAY())</f>
      </c>
      <c r="N153" s="8">
        <f>IF(E153="","",IF(K153&lt;&gt;"",IF(L153="","Preuve à joindre","Levée"),IF(I153="","À planifier",IF(M153&lt;0,"En retard","En cours"))))</f>
      </c>
    </row>
    <row r="154" spans="1:14" x14ac:dyDescent="0.25">
      <c r="A154" s="5">
        <v>150</v>
      </c>
      <c r="B154" s="6"/>
      <c r="C154" s="5"/>
      <c r="D154" s="5"/>
      <c r="E154" s="7"/>
      <c r="F154" s="5"/>
      <c r="G154" s="7"/>
      <c r="H154" s="5"/>
      <c r="I154" s="6"/>
      <c r="J154" s="5"/>
      <c r="K154" s="6"/>
      <c r="L154" s="7"/>
      <c r="M154" s="8">
        <f>IF(OR(I154="",K154&lt;&gt;""),"",I154-TODAY())</f>
      </c>
      <c r="N154" s="8">
        <f>IF(E154="","",IF(K154&lt;&gt;"",IF(L154="","Preuve à joindre","Levée"),IF(I154="","À planifier",IF(M154&lt;0,"En retard","En cours"))))</f>
      </c>
    </row>
    <row r="155" spans="1:14" x14ac:dyDescent="0.25">
      <c r="A155" s="5">
        <v>151</v>
      </c>
      <c r="B155" s="6"/>
      <c r="C155" s="5"/>
      <c r="D155" s="5"/>
      <c r="E155" s="7"/>
      <c r="F155" s="5"/>
      <c r="G155" s="7"/>
      <c r="H155" s="5"/>
      <c r="I155" s="6"/>
      <c r="J155" s="5"/>
      <c r="K155" s="6"/>
      <c r="L155" s="7"/>
      <c r="M155" s="8">
        <f>IF(OR(I155="",K155&lt;&gt;""),"",I155-TODAY())</f>
      </c>
      <c r="N155" s="8">
        <f>IF(E155="","",IF(K155&lt;&gt;"",IF(L155="","Preuve à joindre","Levée"),IF(I155="","À planifier",IF(M155&lt;0,"En retard","En cours"))))</f>
      </c>
    </row>
    <row r="156" spans="1:14" x14ac:dyDescent="0.25">
      <c r="A156" s="5">
        <v>152</v>
      </c>
      <c r="B156" s="6"/>
      <c r="C156" s="5"/>
      <c r="D156" s="5"/>
      <c r="E156" s="7"/>
      <c r="F156" s="5"/>
      <c r="G156" s="7"/>
      <c r="H156" s="5"/>
      <c r="I156" s="6"/>
      <c r="J156" s="5"/>
      <c r="K156" s="6"/>
      <c r="L156" s="7"/>
      <c r="M156" s="8">
        <f>IF(OR(I156="",K156&lt;&gt;""),"",I156-TODAY())</f>
      </c>
      <c r="N156" s="8">
        <f>IF(E156="","",IF(K156&lt;&gt;"",IF(L156="","Preuve à joindre","Levée"),IF(I156="","À planifier",IF(M156&lt;0,"En retard","En cours"))))</f>
      </c>
    </row>
    <row r="157" spans="1:14" x14ac:dyDescent="0.25">
      <c r="A157" s="5">
        <v>153</v>
      </c>
      <c r="B157" s="6"/>
      <c r="C157" s="5"/>
      <c r="D157" s="5"/>
      <c r="E157" s="7"/>
      <c r="F157" s="5"/>
      <c r="G157" s="7"/>
      <c r="H157" s="5"/>
      <c r="I157" s="6"/>
      <c r="J157" s="5"/>
      <c r="K157" s="6"/>
      <c r="L157" s="7"/>
      <c r="M157" s="8">
        <f>IF(OR(I157="",K157&lt;&gt;""),"",I157-TODAY())</f>
      </c>
      <c r="N157" s="8">
        <f>IF(E157="","",IF(K157&lt;&gt;"",IF(L157="","Preuve à joindre","Levée"),IF(I157="","À planifier",IF(M157&lt;0,"En retard","En cours"))))</f>
      </c>
    </row>
    <row r="158" spans="1:14" x14ac:dyDescent="0.25">
      <c r="A158" s="5">
        <v>154</v>
      </c>
      <c r="B158" s="6"/>
      <c r="C158" s="5"/>
      <c r="D158" s="5"/>
      <c r="E158" s="7"/>
      <c r="F158" s="5"/>
      <c r="G158" s="7"/>
      <c r="H158" s="5"/>
      <c r="I158" s="6"/>
      <c r="J158" s="5"/>
      <c r="K158" s="6"/>
      <c r="L158" s="7"/>
      <c r="M158" s="8">
        <f>IF(OR(I158="",K158&lt;&gt;""),"",I158-TODAY())</f>
      </c>
      <c r="N158" s="8">
        <f>IF(E158="","",IF(K158&lt;&gt;"",IF(L158="","Preuve à joindre","Levée"),IF(I158="","À planifier",IF(M158&lt;0,"En retard","En cours"))))</f>
      </c>
    </row>
    <row r="159" spans="1:14" x14ac:dyDescent="0.25">
      <c r="A159" s="5">
        <v>155</v>
      </c>
      <c r="B159" s="6"/>
      <c r="C159" s="5"/>
      <c r="D159" s="5"/>
      <c r="E159" s="7"/>
      <c r="F159" s="5"/>
      <c r="G159" s="7"/>
      <c r="H159" s="5"/>
      <c r="I159" s="6"/>
      <c r="J159" s="5"/>
      <c r="K159" s="6"/>
      <c r="L159" s="7"/>
      <c r="M159" s="8">
        <f>IF(OR(I159="",K159&lt;&gt;""),"",I159-TODAY())</f>
      </c>
      <c r="N159" s="8">
        <f>IF(E159="","",IF(K159&lt;&gt;"",IF(L159="","Preuve à joindre","Levée"),IF(I159="","À planifier",IF(M159&lt;0,"En retard","En cours"))))</f>
      </c>
    </row>
    <row r="160" spans="1:14" x14ac:dyDescent="0.25">
      <c r="A160" s="5">
        <v>156</v>
      </c>
      <c r="B160" s="6"/>
      <c r="C160" s="5"/>
      <c r="D160" s="5"/>
      <c r="E160" s="7"/>
      <c r="F160" s="5"/>
      <c r="G160" s="7"/>
      <c r="H160" s="5"/>
      <c r="I160" s="6"/>
      <c r="J160" s="5"/>
      <c r="K160" s="6"/>
      <c r="L160" s="7"/>
      <c r="M160" s="8">
        <f>IF(OR(I160="",K160&lt;&gt;""),"",I160-TODAY())</f>
      </c>
      <c r="N160" s="8">
        <f>IF(E160="","",IF(K160&lt;&gt;"",IF(L160="","Preuve à joindre","Levée"),IF(I160="","À planifier",IF(M160&lt;0,"En retard","En cours"))))</f>
      </c>
    </row>
    <row r="161" spans="1:14" x14ac:dyDescent="0.25">
      <c r="A161" s="5">
        <v>157</v>
      </c>
      <c r="B161" s="6"/>
      <c r="C161" s="5"/>
      <c r="D161" s="5"/>
      <c r="E161" s="7"/>
      <c r="F161" s="5"/>
      <c r="G161" s="7"/>
      <c r="H161" s="5"/>
      <c r="I161" s="6"/>
      <c r="J161" s="5"/>
      <c r="K161" s="6"/>
      <c r="L161" s="7"/>
      <c r="M161" s="8">
        <f>IF(OR(I161="",K161&lt;&gt;""),"",I161-TODAY())</f>
      </c>
      <c r="N161" s="8">
        <f>IF(E161="","",IF(K161&lt;&gt;"",IF(L161="","Preuve à joindre","Levée"),IF(I161="","À planifier",IF(M161&lt;0,"En retard","En cours"))))</f>
      </c>
    </row>
    <row r="162" spans="1:14" x14ac:dyDescent="0.25">
      <c r="A162" s="5">
        <v>158</v>
      </c>
      <c r="B162" s="6"/>
      <c r="C162" s="5"/>
      <c r="D162" s="5"/>
      <c r="E162" s="7"/>
      <c r="F162" s="5"/>
      <c r="G162" s="7"/>
      <c r="H162" s="5"/>
      <c r="I162" s="6"/>
      <c r="J162" s="5"/>
      <c r="K162" s="6"/>
      <c r="L162" s="7"/>
      <c r="M162" s="8">
        <f>IF(OR(I162="",K162&lt;&gt;""),"",I162-TODAY())</f>
      </c>
      <c r="N162" s="8">
        <f>IF(E162="","",IF(K162&lt;&gt;"",IF(L162="","Preuve à joindre","Levée"),IF(I162="","À planifier",IF(M162&lt;0,"En retard","En cours"))))</f>
      </c>
    </row>
    <row r="163" spans="1:14" x14ac:dyDescent="0.25">
      <c r="A163" s="5">
        <v>159</v>
      </c>
      <c r="B163" s="6"/>
      <c r="C163" s="5"/>
      <c r="D163" s="5"/>
      <c r="E163" s="7"/>
      <c r="F163" s="5"/>
      <c r="G163" s="7"/>
      <c r="H163" s="5"/>
      <c r="I163" s="6"/>
      <c r="J163" s="5"/>
      <c r="K163" s="6"/>
      <c r="L163" s="7"/>
      <c r="M163" s="8">
        <f>IF(OR(I163="",K163&lt;&gt;""),"",I163-TODAY())</f>
      </c>
      <c r="N163" s="8">
        <f>IF(E163="","",IF(K163&lt;&gt;"",IF(L163="","Preuve à joindre","Levée"),IF(I163="","À planifier",IF(M163&lt;0,"En retard","En cours"))))</f>
      </c>
    </row>
    <row r="164" spans="1:14" x14ac:dyDescent="0.25">
      <c r="A164" s="5">
        <v>160</v>
      </c>
      <c r="B164" s="6"/>
      <c r="C164" s="5"/>
      <c r="D164" s="5"/>
      <c r="E164" s="7"/>
      <c r="F164" s="5"/>
      <c r="G164" s="7"/>
      <c r="H164" s="5"/>
      <c r="I164" s="6"/>
      <c r="J164" s="5"/>
      <c r="K164" s="6"/>
      <c r="L164" s="7"/>
      <c r="M164" s="8">
        <f>IF(OR(I164="",K164&lt;&gt;""),"",I164-TODAY())</f>
      </c>
      <c r="N164" s="8">
        <f>IF(E164="","",IF(K164&lt;&gt;"",IF(L164="","Preuve à joindre","Levée"),IF(I164="","À planifier",IF(M164&lt;0,"En retard","En cours"))))</f>
      </c>
    </row>
    <row r="165" spans="1:14" x14ac:dyDescent="0.25">
      <c r="A165" s="5">
        <v>161</v>
      </c>
      <c r="B165" s="6"/>
      <c r="C165" s="5"/>
      <c r="D165" s="5"/>
      <c r="E165" s="7"/>
      <c r="F165" s="5"/>
      <c r="G165" s="7"/>
      <c r="H165" s="5"/>
      <c r="I165" s="6"/>
      <c r="J165" s="5"/>
      <c r="K165" s="6"/>
      <c r="L165" s="7"/>
      <c r="M165" s="8">
        <f>IF(OR(I165="",K165&lt;&gt;""),"",I165-TODAY())</f>
      </c>
      <c r="N165" s="8">
        <f>IF(E165="","",IF(K165&lt;&gt;"",IF(L165="","Preuve à joindre","Levée"),IF(I165="","À planifier",IF(M165&lt;0,"En retard","En cours"))))</f>
      </c>
    </row>
    <row r="166" spans="1:14" x14ac:dyDescent="0.25">
      <c r="A166" s="5">
        <v>162</v>
      </c>
      <c r="B166" s="6"/>
      <c r="C166" s="5"/>
      <c r="D166" s="5"/>
      <c r="E166" s="7"/>
      <c r="F166" s="5"/>
      <c r="G166" s="7"/>
      <c r="H166" s="5"/>
      <c r="I166" s="6"/>
      <c r="J166" s="5"/>
      <c r="K166" s="6"/>
      <c r="L166" s="7"/>
      <c r="M166" s="8">
        <f>IF(OR(I166="",K166&lt;&gt;""),"",I166-TODAY())</f>
      </c>
      <c r="N166" s="8">
        <f>IF(E166="","",IF(K166&lt;&gt;"",IF(L166="","Preuve à joindre","Levée"),IF(I166="","À planifier",IF(M166&lt;0,"En retard","En cours"))))</f>
      </c>
    </row>
    <row r="167" spans="1:14" x14ac:dyDescent="0.25">
      <c r="A167" s="5">
        <v>163</v>
      </c>
      <c r="B167" s="6"/>
      <c r="C167" s="5"/>
      <c r="D167" s="5"/>
      <c r="E167" s="7"/>
      <c r="F167" s="5"/>
      <c r="G167" s="7"/>
      <c r="H167" s="5"/>
      <c r="I167" s="6"/>
      <c r="J167" s="5"/>
      <c r="K167" s="6"/>
      <c r="L167" s="7"/>
      <c r="M167" s="8">
        <f>IF(OR(I167="",K167&lt;&gt;""),"",I167-TODAY())</f>
      </c>
      <c r="N167" s="8">
        <f>IF(E167="","",IF(K167&lt;&gt;"",IF(L167="","Preuve à joindre","Levée"),IF(I167="","À planifier",IF(M167&lt;0,"En retard","En cours"))))</f>
      </c>
    </row>
    <row r="168" spans="1:14" x14ac:dyDescent="0.25">
      <c r="A168" s="5">
        <v>164</v>
      </c>
      <c r="B168" s="6"/>
      <c r="C168" s="5"/>
      <c r="D168" s="5"/>
      <c r="E168" s="7"/>
      <c r="F168" s="5"/>
      <c r="G168" s="7"/>
      <c r="H168" s="5"/>
      <c r="I168" s="6"/>
      <c r="J168" s="5"/>
      <c r="K168" s="6"/>
      <c r="L168" s="7"/>
      <c r="M168" s="8">
        <f>IF(OR(I168="",K168&lt;&gt;""),"",I168-TODAY())</f>
      </c>
      <c r="N168" s="8">
        <f>IF(E168="","",IF(K168&lt;&gt;"",IF(L168="","Preuve à joindre","Levée"),IF(I168="","À planifier",IF(M168&lt;0,"En retard","En cours"))))</f>
      </c>
    </row>
    <row r="169" spans="1:14" x14ac:dyDescent="0.25">
      <c r="A169" s="5">
        <v>165</v>
      </c>
      <c r="B169" s="6"/>
      <c r="C169" s="5"/>
      <c r="D169" s="5"/>
      <c r="E169" s="7"/>
      <c r="F169" s="5"/>
      <c r="G169" s="7"/>
      <c r="H169" s="5"/>
      <c r="I169" s="6"/>
      <c r="J169" s="5"/>
      <c r="K169" s="6"/>
      <c r="L169" s="7"/>
      <c r="M169" s="8">
        <f>IF(OR(I169="",K169&lt;&gt;""),"",I169-TODAY())</f>
      </c>
      <c r="N169" s="8">
        <f>IF(E169="","",IF(K169&lt;&gt;"",IF(L169="","Preuve à joindre","Levée"),IF(I169="","À planifier",IF(M169&lt;0,"En retard","En cours"))))</f>
      </c>
    </row>
    <row r="170" spans="1:14" x14ac:dyDescent="0.25">
      <c r="A170" s="5">
        <v>166</v>
      </c>
      <c r="B170" s="6"/>
      <c r="C170" s="5"/>
      <c r="D170" s="5"/>
      <c r="E170" s="7"/>
      <c r="F170" s="5"/>
      <c r="G170" s="7"/>
      <c r="H170" s="5"/>
      <c r="I170" s="6"/>
      <c r="J170" s="5"/>
      <c r="K170" s="6"/>
      <c r="L170" s="7"/>
      <c r="M170" s="8">
        <f>IF(OR(I170="",K170&lt;&gt;""),"",I170-TODAY())</f>
      </c>
      <c r="N170" s="8">
        <f>IF(E170="","",IF(K170&lt;&gt;"",IF(L170="","Preuve à joindre","Levée"),IF(I170="","À planifier",IF(M170&lt;0,"En retard","En cours"))))</f>
      </c>
    </row>
    <row r="171" spans="1:14" x14ac:dyDescent="0.25">
      <c r="A171" s="5">
        <v>167</v>
      </c>
      <c r="B171" s="6"/>
      <c r="C171" s="5"/>
      <c r="D171" s="5"/>
      <c r="E171" s="7"/>
      <c r="F171" s="5"/>
      <c r="G171" s="7"/>
      <c r="H171" s="5"/>
      <c r="I171" s="6"/>
      <c r="J171" s="5"/>
      <c r="K171" s="6"/>
      <c r="L171" s="7"/>
      <c r="M171" s="8">
        <f>IF(OR(I171="",K171&lt;&gt;""),"",I171-TODAY())</f>
      </c>
      <c r="N171" s="8">
        <f>IF(E171="","",IF(K171&lt;&gt;"",IF(L171="","Preuve à joindre","Levée"),IF(I171="","À planifier",IF(M171&lt;0,"En retard","En cours"))))</f>
      </c>
    </row>
    <row r="172" spans="1:14" x14ac:dyDescent="0.25">
      <c r="A172" s="5">
        <v>168</v>
      </c>
      <c r="B172" s="6"/>
      <c r="C172" s="5"/>
      <c r="D172" s="5"/>
      <c r="E172" s="7"/>
      <c r="F172" s="5"/>
      <c r="G172" s="7"/>
      <c r="H172" s="5"/>
      <c r="I172" s="6"/>
      <c r="J172" s="5"/>
      <c r="K172" s="6"/>
      <c r="L172" s="7"/>
      <c r="M172" s="8">
        <f>IF(OR(I172="",K172&lt;&gt;""),"",I172-TODAY())</f>
      </c>
      <c r="N172" s="8">
        <f>IF(E172="","",IF(K172&lt;&gt;"",IF(L172="","Preuve à joindre","Levée"),IF(I172="","À planifier",IF(M172&lt;0,"En retard","En cours"))))</f>
      </c>
    </row>
    <row r="173" spans="1:14" x14ac:dyDescent="0.25">
      <c r="A173" s="5">
        <v>169</v>
      </c>
      <c r="B173" s="6"/>
      <c r="C173" s="5"/>
      <c r="D173" s="5"/>
      <c r="E173" s="7"/>
      <c r="F173" s="5"/>
      <c r="G173" s="7"/>
      <c r="H173" s="5"/>
      <c r="I173" s="6"/>
      <c r="J173" s="5"/>
      <c r="K173" s="6"/>
      <c r="L173" s="7"/>
      <c r="M173" s="8">
        <f>IF(OR(I173="",K173&lt;&gt;""),"",I173-TODAY())</f>
      </c>
      <c r="N173" s="8">
        <f>IF(E173="","",IF(K173&lt;&gt;"",IF(L173="","Preuve à joindre","Levée"),IF(I173="","À planifier",IF(M173&lt;0,"En retard","En cours"))))</f>
      </c>
    </row>
    <row r="174" spans="1:14" x14ac:dyDescent="0.25">
      <c r="A174" s="5">
        <v>170</v>
      </c>
      <c r="B174" s="6"/>
      <c r="C174" s="5"/>
      <c r="D174" s="5"/>
      <c r="E174" s="7"/>
      <c r="F174" s="5"/>
      <c r="G174" s="7"/>
      <c r="H174" s="5"/>
      <c r="I174" s="6"/>
      <c r="J174" s="5"/>
      <c r="K174" s="6"/>
      <c r="L174" s="7"/>
      <c r="M174" s="8">
        <f>IF(OR(I174="",K174&lt;&gt;""),"",I174-TODAY())</f>
      </c>
      <c r="N174" s="8">
        <f>IF(E174="","",IF(K174&lt;&gt;"",IF(L174="","Preuve à joindre","Levée"),IF(I174="","À planifier",IF(M174&lt;0,"En retard","En cours"))))</f>
      </c>
    </row>
    <row r="175" spans="1:14" x14ac:dyDescent="0.25">
      <c r="A175" s="5">
        <v>171</v>
      </c>
      <c r="B175" s="6"/>
      <c r="C175" s="5"/>
      <c r="D175" s="5"/>
      <c r="E175" s="7"/>
      <c r="F175" s="5"/>
      <c r="G175" s="7"/>
      <c r="H175" s="5"/>
      <c r="I175" s="6"/>
      <c r="J175" s="5"/>
      <c r="K175" s="6"/>
      <c r="L175" s="7"/>
      <c r="M175" s="8">
        <f>IF(OR(I175="",K175&lt;&gt;""),"",I175-TODAY())</f>
      </c>
      <c r="N175" s="8">
        <f>IF(E175="","",IF(K175&lt;&gt;"",IF(L175="","Preuve à joindre","Levée"),IF(I175="","À planifier",IF(M175&lt;0,"En retard","En cours"))))</f>
      </c>
    </row>
    <row r="176" spans="1:14" x14ac:dyDescent="0.25">
      <c r="A176" s="5">
        <v>172</v>
      </c>
      <c r="B176" s="6"/>
      <c r="C176" s="5"/>
      <c r="D176" s="5"/>
      <c r="E176" s="7"/>
      <c r="F176" s="5"/>
      <c r="G176" s="7"/>
      <c r="H176" s="5"/>
      <c r="I176" s="6"/>
      <c r="J176" s="5"/>
      <c r="K176" s="6"/>
      <c r="L176" s="7"/>
      <c r="M176" s="8">
        <f>IF(OR(I176="",K176&lt;&gt;""),"",I176-TODAY())</f>
      </c>
      <c r="N176" s="8">
        <f>IF(E176="","",IF(K176&lt;&gt;"",IF(L176="","Preuve à joindre","Levée"),IF(I176="","À planifier",IF(M176&lt;0,"En retard","En cours"))))</f>
      </c>
    </row>
    <row r="177" spans="1:14" x14ac:dyDescent="0.25">
      <c r="A177" s="5">
        <v>173</v>
      </c>
      <c r="B177" s="6"/>
      <c r="C177" s="5"/>
      <c r="D177" s="5"/>
      <c r="E177" s="7"/>
      <c r="F177" s="5"/>
      <c r="G177" s="7"/>
      <c r="H177" s="5"/>
      <c r="I177" s="6"/>
      <c r="J177" s="5"/>
      <c r="K177" s="6"/>
      <c r="L177" s="7"/>
      <c r="M177" s="8">
        <f>IF(OR(I177="",K177&lt;&gt;""),"",I177-TODAY())</f>
      </c>
      <c r="N177" s="8">
        <f>IF(E177="","",IF(K177&lt;&gt;"",IF(L177="","Preuve à joindre","Levée"),IF(I177="","À planifier",IF(M177&lt;0,"En retard","En cours"))))</f>
      </c>
    </row>
    <row r="178" spans="1:14" x14ac:dyDescent="0.25">
      <c r="A178" s="5">
        <v>174</v>
      </c>
      <c r="B178" s="6"/>
      <c r="C178" s="5"/>
      <c r="D178" s="5"/>
      <c r="E178" s="7"/>
      <c r="F178" s="5"/>
      <c r="G178" s="7"/>
      <c r="H178" s="5"/>
      <c r="I178" s="6"/>
      <c r="J178" s="5"/>
      <c r="K178" s="6"/>
      <c r="L178" s="7"/>
      <c r="M178" s="8">
        <f>IF(OR(I178="",K178&lt;&gt;""),"",I178-TODAY())</f>
      </c>
      <c r="N178" s="8">
        <f>IF(E178="","",IF(K178&lt;&gt;"",IF(L178="","Preuve à joindre","Levée"),IF(I178="","À planifier",IF(M178&lt;0,"En retard","En cours"))))</f>
      </c>
    </row>
    <row r="179" spans="1:14" x14ac:dyDescent="0.25">
      <c r="A179" s="5">
        <v>175</v>
      </c>
      <c r="B179" s="6"/>
      <c r="C179" s="5"/>
      <c r="D179" s="5"/>
      <c r="E179" s="7"/>
      <c r="F179" s="5"/>
      <c r="G179" s="7"/>
      <c r="H179" s="5"/>
      <c r="I179" s="6"/>
      <c r="J179" s="5"/>
      <c r="K179" s="6"/>
      <c r="L179" s="7"/>
      <c r="M179" s="8">
        <f>IF(OR(I179="",K179&lt;&gt;""),"",I179-TODAY())</f>
      </c>
      <c r="N179" s="8">
        <f>IF(E179="","",IF(K179&lt;&gt;"",IF(L179="","Preuve à joindre","Levée"),IF(I179="","À planifier",IF(M179&lt;0,"En retard","En cours"))))</f>
      </c>
    </row>
    <row r="180" spans="1:14" x14ac:dyDescent="0.25">
      <c r="A180" s="5">
        <v>176</v>
      </c>
      <c r="B180" s="6"/>
      <c r="C180" s="5"/>
      <c r="D180" s="5"/>
      <c r="E180" s="7"/>
      <c r="F180" s="5"/>
      <c r="G180" s="7"/>
      <c r="H180" s="5"/>
      <c r="I180" s="6"/>
      <c r="J180" s="5"/>
      <c r="K180" s="6"/>
      <c r="L180" s="7"/>
      <c r="M180" s="8">
        <f>IF(OR(I180="",K180&lt;&gt;""),"",I180-TODAY())</f>
      </c>
      <c r="N180" s="8">
        <f>IF(E180="","",IF(K180&lt;&gt;"",IF(L180="","Preuve à joindre","Levée"),IF(I180="","À planifier",IF(M180&lt;0,"En retard","En cours"))))</f>
      </c>
    </row>
    <row r="181" spans="1:14" x14ac:dyDescent="0.25">
      <c r="A181" s="5">
        <v>177</v>
      </c>
      <c r="B181" s="6"/>
      <c r="C181" s="5"/>
      <c r="D181" s="5"/>
      <c r="E181" s="7"/>
      <c r="F181" s="5"/>
      <c r="G181" s="7"/>
      <c r="H181" s="5"/>
      <c r="I181" s="6"/>
      <c r="J181" s="5"/>
      <c r="K181" s="6"/>
      <c r="L181" s="7"/>
      <c r="M181" s="8">
        <f>IF(OR(I181="",K181&lt;&gt;""),"",I181-TODAY())</f>
      </c>
      <c r="N181" s="8">
        <f>IF(E181="","",IF(K181&lt;&gt;"",IF(L181="","Preuve à joindre","Levée"),IF(I181="","À planifier",IF(M181&lt;0,"En retard","En cours"))))</f>
      </c>
    </row>
    <row r="182" spans="1:14" x14ac:dyDescent="0.25">
      <c r="A182" s="5">
        <v>178</v>
      </c>
      <c r="B182" s="6"/>
      <c r="C182" s="5"/>
      <c r="D182" s="5"/>
      <c r="E182" s="7"/>
      <c r="F182" s="5"/>
      <c r="G182" s="7"/>
      <c r="H182" s="5"/>
      <c r="I182" s="6"/>
      <c r="J182" s="5"/>
      <c r="K182" s="6"/>
      <c r="L182" s="7"/>
      <c r="M182" s="8">
        <f>IF(OR(I182="",K182&lt;&gt;""),"",I182-TODAY())</f>
      </c>
      <c r="N182" s="8">
        <f>IF(E182="","",IF(K182&lt;&gt;"",IF(L182="","Preuve à joindre","Levée"),IF(I182="","À planifier",IF(M182&lt;0,"En retard","En cours"))))</f>
      </c>
    </row>
    <row r="183" spans="1:14" x14ac:dyDescent="0.25">
      <c r="A183" s="5">
        <v>179</v>
      </c>
      <c r="B183" s="6"/>
      <c r="C183" s="5"/>
      <c r="D183" s="5"/>
      <c r="E183" s="7"/>
      <c r="F183" s="5"/>
      <c r="G183" s="7"/>
      <c r="H183" s="5"/>
      <c r="I183" s="6"/>
      <c r="J183" s="5"/>
      <c r="K183" s="6"/>
      <c r="L183" s="7"/>
      <c r="M183" s="8">
        <f>IF(OR(I183="",K183&lt;&gt;""),"",I183-TODAY())</f>
      </c>
      <c r="N183" s="8">
        <f>IF(E183="","",IF(K183&lt;&gt;"",IF(L183="","Preuve à joindre","Levée"),IF(I183="","À planifier",IF(M183&lt;0,"En retard","En cours"))))</f>
      </c>
    </row>
    <row r="184" spans="1:14" x14ac:dyDescent="0.25">
      <c r="A184" s="5">
        <v>180</v>
      </c>
      <c r="B184" s="6"/>
      <c r="C184" s="5"/>
      <c r="D184" s="5"/>
      <c r="E184" s="7"/>
      <c r="F184" s="5"/>
      <c r="G184" s="7"/>
      <c r="H184" s="5"/>
      <c r="I184" s="6"/>
      <c r="J184" s="5"/>
      <c r="K184" s="6"/>
      <c r="L184" s="7"/>
      <c r="M184" s="8">
        <f>IF(OR(I184="",K184&lt;&gt;""),"",I184-TODAY())</f>
      </c>
      <c r="N184" s="8">
        <f>IF(E184="","",IF(K184&lt;&gt;"",IF(L184="","Preuve à joindre","Levée"),IF(I184="","À planifier",IF(M184&lt;0,"En retard","En cours"))))</f>
      </c>
    </row>
    <row r="185" spans="1:14" x14ac:dyDescent="0.25">
      <c r="A185" s="5">
        <v>181</v>
      </c>
      <c r="B185" s="6"/>
      <c r="C185" s="5"/>
      <c r="D185" s="5"/>
      <c r="E185" s="7"/>
      <c r="F185" s="5"/>
      <c r="G185" s="7"/>
      <c r="H185" s="5"/>
      <c r="I185" s="6"/>
      <c r="J185" s="5"/>
      <c r="K185" s="6"/>
      <c r="L185" s="7"/>
      <c r="M185" s="8">
        <f>IF(OR(I185="",K185&lt;&gt;""),"",I185-TODAY())</f>
      </c>
      <c r="N185" s="8">
        <f>IF(E185="","",IF(K185&lt;&gt;"",IF(L185="","Preuve à joindre","Levée"),IF(I185="","À planifier",IF(M185&lt;0,"En retard","En cours"))))</f>
      </c>
    </row>
    <row r="186" spans="1:14" x14ac:dyDescent="0.25">
      <c r="A186" s="5">
        <v>182</v>
      </c>
      <c r="B186" s="6"/>
      <c r="C186" s="5"/>
      <c r="D186" s="5"/>
      <c r="E186" s="7"/>
      <c r="F186" s="5"/>
      <c r="G186" s="7"/>
      <c r="H186" s="5"/>
      <c r="I186" s="6"/>
      <c r="J186" s="5"/>
      <c r="K186" s="6"/>
      <c r="L186" s="7"/>
      <c r="M186" s="8">
        <f>IF(OR(I186="",K186&lt;&gt;""),"",I186-TODAY())</f>
      </c>
      <c r="N186" s="8">
        <f>IF(E186="","",IF(K186&lt;&gt;"",IF(L186="","Preuve à joindre","Levée"),IF(I186="","À planifier",IF(M186&lt;0,"En retard","En cours"))))</f>
      </c>
    </row>
    <row r="187" spans="1:14" x14ac:dyDescent="0.25">
      <c r="A187" s="5">
        <v>183</v>
      </c>
      <c r="B187" s="6"/>
      <c r="C187" s="5"/>
      <c r="D187" s="5"/>
      <c r="E187" s="7"/>
      <c r="F187" s="5"/>
      <c r="G187" s="7"/>
      <c r="H187" s="5"/>
      <c r="I187" s="6"/>
      <c r="J187" s="5"/>
      <c r="K187" s="6"/>
      <c r="L187" s="7"/>
      <c r="M187" s="8">
        <f>IF(OR(I187="",K187&lt;&gt;""),"",I187-TODAY())</f>
      </c>
      <c r="N187" s="8">
        <f>IF(E187="","",IF(K187&lt;&gt;"",IF(L187="","Preuve à joindre","Levée"),IF(I187="","À planifier",IF(M187&lt;0,"En retard","En cours"))))</f>
      </c>
    </row>
    <row r="188" spans="1:14" x14ac:dyDescent="0.25">
      <c r="A188" s="5">
        <v>184</v>
      </c>
      <c r="B188" s="6"/>
      <c r="C188" s="5"/>
      <c r="D188" s="5"/>
      <c r="E188" s="7"/>
      <c r="F188" s="5"/>
      <c r="G188" s="7"/>
      <c r="H188" s="5"/>
      <c r="I188" s="6"/>
      <c r="J188" s="5"/>
      <c r="K188" s="6"/>
      <c r="L188" s="7"/>
      <c r="M188" s="8">
        <f>IF(OR(I188="",K188&lt;&gt;""),"",I188-TODAY())</f>
      </c>
      <c r="N188" s="8">
        <f>IF(E188="","",IF(K188&lt;&gt;"",IF(L188="","Preuve à joindre","Levée"),IF(I188="","À planifier",IF(M188&lt;0,"En retard","En cours"))))</f>
      </c>
    </row>
    <row r="189" spans="1:14" x14ac:dyDescent="0.25">
      <c r="A189" s="5">
        <v>185</v>
      </c>
      <c r="B189" s="6"/>
      <c r="C189" s="5"/>
      <c r="D189" s="5"/>
      <c r="E189" s="7"/>
      <c r="F189" s="5"/>
      <c r="G189" s="7"/>
      <c r="H189" s="5"/>
      <c r="I189" s="6"/>
      <c r="J189" s="5"/>
      <c r="K189" s="6"/>
      <c r="L189" s="7"/>
      <c r="M189" s="8">
        <f>IF(OR(I189="",K189&lt;&gt;""),"",I189-TODAY())</f>
      </c>
      <c r="N189" s="8">
        <f>IF(E189="","",IF(K189&lt;&gt;"",IF(L189="","Preuve à joindre","Levée"),IF(I189="","À planifier",IF(M189&lt;0,"En retard","En cours"))))</f>
      </c>
    </row>
    <row r="190" spans="1:14" x14ac:dyDescent="0.25">
      <c r="A190" s="5">
        <v>186</v>
      </c>
      <c r="B190" s="6"/>
      <c r="C190" s="5"/>
      <c r="D190" s="5"/>
      <c r="E190" s="7"/>
      <c r="F190" s="5"/>
      <c r="G190" s="7"/>
      <c r="H190" s="5"/>
      <c r="I190" s="6"/>
      <c r="J190" s="5"/>
      <c r="K190" s="6"/>
      <c r="L190" s="7"/>
      <c r="M190" s="8">
        <f>IF(OR(I190="",K190&lt;&gt;""),"",I190-TODAY())</f>
      </c>
      <c r="N190" s="8">
        <f>IF(E190="","",IF(K190&lt;&gt;"",IF(L190="","Preuve à joindre","Levée"),IF(I190="","À planifier",IF(M190&lt;0,"En retard","En cours"))))</f>
      </c>
    </row>
    <row r="191" spans="1:14" x14ac:dyDescent="0.25">
      <c r="A191" s="5">
        <v>187</v>
      </c>
      <c r="B191" s="6"/>
      <c r="C191" s="5"/>
      <c r="D191" s="5"/>
      <c r="E191" s="7"/>
      <c r="F191" s="5"/>
      <c r="G191" s="7"/>
      <c r="H191" s="5"/>
      <c r="I191" s="6"/>
      <c r="J191" s="5"/>
      <c r="K191" s="6"/>
      <c r="L191" s="7"/>
      <c r="M191" s="8">
        <f>IF(OR(I191="",K191&lt;&gt;""),"",I191-TODAY())</f>
      </c>
      <c r="N191" s="8">
        <f>IF(E191="","",IF(K191&lt;&gt;"",IF(L191="","Preuve à joindre","Levée"),IF(I191="","À planifier",IF(M191&lt;0,"En retard","En cours"))))</f>
      </c>
    </row>
    <row r="192" spans="1:14" x14ac:dyDescent="0.25">
      <c r="A192" s="5">
        <v>188</v>
      </c>
      <c r="B192" s="6"/>
      <c r="C192" s="5"/>
      <c r="D192" s="5"/>
      <c r="E192" s="7"/>
      <c r="F192" s="5"/>
      <c r="G192" s="7"/>
      <c r="H192" s="5"/>
      <c r="I192" s="6"/>
      <c r="J192" s="5"/>
      <c r="K192" s="6"/>
      <c r="L192" s="7"/>
      <c r="M192" s="8">
        <f>IF(OR(I192="",K192&lt;&gt;""),"",I192-TODAY())</f>
      </c>
      <c r="N192" s="8">
        <f>IF(E192="","",IF(K192&lt;&gt;"",IF(L192="","Preuve à joindre","Levée"),IF(I192="","À planifier",IF(M192&lt;0,"En retard","En cours"))))</f>
      </c>
    </row>
    <row r="193" spans="1:14" x14ac:dyDescent="0.25">
      <c r="A193" s="5">
        <v>189</v>
      </c>
      <c r="B193" s="6"/>
      <c r="C193" s="5"/>
      <c r="D193" s="5"/>
      <c r="E193" s="7"/>
      <c r="F193" s="5"/>
      <c r="G193" s="7"/>
      <c r="H193" s="5"/>
      <c r="I193" s="6"/>
      <c r="J193" s="5"/>
      <c r="K193" s="6"/>
      <c r="L193" s="7"/>
      <c r="M193" s="8">
        <f>IF(OR(I193="",K193&lt;&gt;""),"",I193-TODAY())</f>
      </c>
      <c r="N193" s="8">
        <f>IF(E193="","",IF(K193&lt;&gt;"",IF(L193="","Preuve à joindre","Levée"),IF(I193="","À planifier",IF(M193&lt;0,"En retard","En cours"))))</f>
      </c>
    </row>
    <row r="194" spans="1:14" x14ac:dyDescent="0.25">
      <c r="A194" s="5">
        <v>190</v>
      </c>
      <c r="B194" s="6"/>
      <c r="C194" s="5"/>
      <c r="D194" s="5"/>
      <c r="E194" s="7"/>
      <c r="F194" s="5"/>
      <c r="G194" s="7"/>
      <c r="H194" s="5"/>
      <c r="I194" s="6"/>
      <c r="J194" s="5"/>
      <c r="K194" s="6"/>
      <c r="L194" s="7"/>
      <c r="M194" s="8">
        <f>IF(OR(I194="",K194&lt;&gt;""),"",I194-TODAY())</f>
      </c>
      <c r="N194" s="8">
        <f>IF(E194="","",IF(K194&lt;&gt;"",IF(L194="","Preuve à joindre","Levée"),IF(I194="","À planifier",IF(M194&lt;0,"En retard","En cours"))))</f>
      </c>
    </row>
    <row r="195" spans="1:14" x14ac:dyDescent="0.25">
      <c r="A195" s="5">
        <v>191</v>
      </c>
      <c r="B195" s="6"/>
      <c r="C195" s="5"/>
      <c r="D195" s="5"/>
      <c r="E195" s="7"/>
      <c r="F195" s="5"/>
      <c r="G195" s="7"/>
      <c r="H195" s="5"/>
      <c r="I195" s="6"/>
      <c r="J195" s="5"/>
      <c r="K195" s="6"/>
      <c r="L195" s="7"/>
      <c r="M195" s="8">
        <f>IF(OR(I195="",K195&lt;&gt;""),"",I195-TODAY())</f>
      </c>
      <c r="N195" s="8">
        <f>IF(E195="","",IF(K195&lt;&gt;"",IF(L195="","Preuve à joindre","Levée"),IF(I195="","À planifier",IF(M195&lt;0,"En retard","En cours"))))</f>
      </c>
    </row>
    <row r="196" spans="1:14" x14ac:dyDescent="0.25">
      <c r="A196" s="5">
        <v>192</v>
      </c>
      <c r="B196" s="6"/>
      <c r="C196" s="5"/>
      <c r="D196" s="5"/>
      <c r="E196" s="7"/>
      <c r="F196" s="5"/>
      <c r="G196" s="7"/>
      <c r="H196" s="5"/>
      <c r="I196" s="6"/>
      <c r="J196" s="5"/>
      <c r="K196" s="6"/>
      <c r="L196" s="7"/>
      <c r="M196" s="8">
        <f>IF(OR(I196="",K196&lt;&gt;""),"",I196-TODAY())</f>
      </c>
      <c r="N196" s="8">
        <f>IF(E196="","",IF(K196&lt;&gt;"",IF(L196="","Preuve à joindre","Levée"),IF(I196="","À planifier",IF(M196&lt;0,"En retard","En cours"))))</f>
      </c>
    </row>
    <row r="197" spans="1:14" x14ac:dyDescent="0.25">
      <c r="A197" s="5">
        <v>193</v>
      </c>
      <c r="B197" s="6"/>
      <c r="C197" s="5"/>
      <c r="D197" s="5"/>
      <c r="E197" s="7"/>
      <c r="F197" s="5"/>
      <c r="G197" s="7"/>
      <c r="H197" s="5"/>
      <c r="I197" s="6"/>
      <c r="J197" s="5"/>
      <c r="K197" s="6"/>
      <c r="L197" s="7"/>
      <c r="M197" s="8">
        <f>IF(OR(I197="",K197&lt;&gt;""),"",I197-TODAY())</f>
      </c>
      <c r="N197" s="8">
        <f>IF(E197="","",IF(K197&lt;&gt;"",IF(L197="","Preuve à joindre","Levée"),IF(I197="","À planifier",IF(M197&lt;0,"En retard","En cours"))))</f>
      </c>
    </row>
    <row r="198" spans="1:14" x14ac:dyDescent="0.25">
      <c r="A198" s="5">
        <v>194</v>
      </c>
      <c r="B198" s="6"/>
      <c r="C198" s="5"/>
      <c r="D198" s="5"/>
      <c r="E198" s="7"/>
      <c r="F198" s="5"/>
      <c r="G198" s="7"/>
      <c r="H198" s="5"/>
      <c r="I198" s="6"/>
      <c r="J198" s="5"/>
      <c r="K198" s="6"/>
      <c r="L198" s="7"/>
      <c r="M198" s="8">
        <f>IF(OR(I198="",K198&lt;&gt;""),"",I198-TODAY())</f>
      </c>
      <c r="N198" s="8">
        <f>IF(E198="","",IF(K198&lt;&gt;"",IF(L198="","Preuve à joindre","Levée"),IF(I198="","À planifier",IF(M198&lt;0,"En retard","En cours"))))</f>
      </c>
    </row>
    <row r="199" spans="1:14" x14ac:dyDescent="0.25">
      <c r="A199" s="5">
        <v>195</v>
      </c>
      <c r="B199" s="6"/>
      <c r="C199" s="5"/>
      <c r="D199" s="5"/>
      <c r="E199" s="7"/>
      <c r="F199" s="5"/>
      <c r="G199" s="7"/>
      <c r="H199" s="5"/>
      <c r="I199" s="6"/>
      <c r="J199" s="5"/>
      <c r="K199" s="6"/>
      <c r="L199" s="7"/>
      <c r="M199" s="8">
        <f>IF(OR(I199="",K199&lt;&gt;""),"",I199-TODAY())</f>
      </c>
      <c r="N199" s="8">
        <f>IF(E199="","",IF(K199&lt;&gt;"",IF(L199="","Preuve à joindre","Levée"),IF(I199="","À planifier",IF(M199&lt;0,"En retard","En cours"))))</f>
      </c>
    </row>
    <row r="200" spans="1:14" x14ac:dyDescent="0.25">
      <c r="A200" s="5">
        <v>196</v>
      </c>
      <c r="B200" s="6"/>
      <c r="C200" s="5"/>
      <c r="D200" s="5"/>
      <c r="E200" s="7"/>
      <c r="F200" s="5"/>
      <c r="G200" s="7"/>
      <c r="H200" s="5"/>
      <c r="I200" s="6"/>
      <c r="J200" s="5"/>
      <c r="K200" s="6"/>
      <c r="L200" s="7"/>
      <c r="M200" s="8">
        <f>IF(OR(I200="",K200&lt;&gt;""),"",I200-TODAY())</f>
      </c>
      <c r="N200" s="8">
        <f>IF(E200="","",IF(K200&lt;&gt;"",IF(L200="","Preuve à joindre","Levée"),IF(I200="","À planifier",IF(M200&lt;0,"En retard","En cours"))))</f>
      </c>
    </row>
    <row r="201" spans="1:14" x14ac:dyDescent="0.25">
      <c r="A201" s="5">
        <v>197</v>
      </c>
      <c r="B201" s="6"/>
      <c r="C201" s="5"/>
      <c r="D201" s="5"/>
      <c r="E201" s="7"/>
      <c r="F201" s="5"/>
      <c r="G201" s="7"/>
      <c r="H201" s="5"/>
      <c r="I201" s="6"/>
      <c r="J201" s="5"/>
      <c r="K201" s="6"/>
      <c r="L201" s="7"/>
      <c r="M201" s="8">
        <f>IF(OR(I201="",K201&lt;&gt;""),"",I201-TODAY())</f>
      </c>
      <c r="N201" s="8">
        <f>IF(E201="","",IF(K201&lt;&gt;"",IF(L201="","Preuve à joindre","Levée"),IF(I201="","À planifier",IF(M201&lt;0,"En retard","En cours"))))</f>
      </c>
    </row>
    <row r="202" spans="1:14" x14ac:dyDescent="0.25">
      <c r="A202" s="5">
        <v>198</v>
      </c>
      <c r="B202" s="6"/>
      <c r="C202" s="5"/>
      <c r="D202" s="5"/>
      <c r="E202" s="7"/>
      <c r="F202" s="5"/>
      <c r="G202" s="7"/>
      <c r="H202" s="5"/>
      <c r="I202" s="6"/>
      <c r="J202" s="5"/>
      <c r="K202" s="6"/>
      <c r="L202" s="7"/>
      <c r="M202" s="8">
        <f>IF(OR(I202="",K202&lt;&gt;""),"",I202-TODAY())</f>
      </c>
      <c r="N202" s="8">
        <f>IF(E202="","",IF(K202&lt;&gt;"",IF(L202="","Preuve à joindre","Levée"),IF(I202="","À planifier",IF(M202&lt;0,"En retard","En cours"))))</f>
      </c>
    </row>
    <row r="203" spans="1:14" x14ac:dyDescent="0.25">
      <c r="A203" s="5">
        <v>199</v>
      </c>
      <c r="B203" s="6"/>
      <c r="C203" s="5"/>
      <c r="D203" s="5"/>
      <c r="E203" s="7"/>
      <c r="F203" s="5"/>
      <c r="G203" s="7"/>
      <c r="H203" s="5"/>
      <c r="I203" s="6"/>
      <c r="J203" s="5"/>
      <c r="K203" s="6"/>
      <c r="L203" s="7"/>
      <c r="M203" s="8">
        <f>IF(OR(I203="",K203&lt;&gt;""),"",I203-TODAY())</f>
      </c>
      <c r="N203" s="8">
        <f>IF(E203="","",IF(K203&lt;&gt;"",IF(L203="","Preuve à joindre","Levée"),IF(I203="","À planifier",IF(M203&lt;0,"En retard","En cours"))))</f>
      </c>
    </row>
    <row r="204" spans="1:14" x14ac:dyDescent="0.25">
      <c r="A204" s="5">
        <v>200</v>
      </c>
      <c r="B204" s="6"/>
      <c r="C204" s="5"/>
      <c r="D204" s="5"/>
      <c r="E204" s="7"/>
      <c r="F204" s="5"/>
      <c r="G204" s="7"/>
      <c r="H204" s="5"/>
      <c r="I204" s="6"/>
      <c r="J204" s="5"/>
      <c r="K204" s="6"/>
      <c r="L204" s="7"/>
      <c r="M204" s="8">
        <f>IF(OR(I204="",K204&lt;&gt;""),"",I204-TODAY())</f>
      </c>
      <c r="N204" s="8">
        <f>IF(E204="","",IF(K204&lt;&gt;"",IF(L204="","Preuve à joindre","Levée"),IF(I204="","À planifier",IF(M204&lt;0,"En retard","En cours"))))</f>
      </c>
    </row>
    <row r="205" spans="1:14" x14ac:dyDescent="0.25">
      <c r="A205" s="5">
        <v>201</v>
      </c>
      <c r="B205" s="6"/>
      <c r="C205" s="5"/>
      <c r="D205" s="5"/>
      <c r="E205" s="7"/>
      <c r="F205" s="5"/>
      <c r="G205" s="7"/>
      <c r="H205" s="5"/>
      <c r="I205" s="6"/>
      <c r="J205" s="5"/>
      <c r="K205" s="6"/>
      <c r="L205" s="7"/>
      <c r="M205" s="8">
        <f>IF(OR(I205="",K205&lt;&gt;""),"",I205-TODAY())</f>
      </c>
      <c r="N205" s="8">
        <f>IF(E205="","",IF(K205&lt;&gt;"",IF(L205="","Preuve à joindre","Levée"),IF(I205="","À planifier",IF(M205&lt;0,"En retard","En cours"))))</f>
      </c>
    </row>
    <row r="206" spans="1:14" x14ac:dyDescent="0.25">
      <c r="A206" s="5">
        <v>202</v>
      </c>
      <c r="B206" s="6"/>
      <c r="C206" s="5"/>
      <c r="D206" s="5"/>
      <c r="E206" s="7"/>
      <c r="F206" s="5"/>
      <c r="G206" s="7"/>
      <c r="H206" s="5"/>
      <c r="I206" s="6"/>
      <c r="J206" s="5"/>
      <c r="K206" s="6"/>
      <c r="L206" s="7"/>
      <c r="M206" s="8">
        <f>IF(OR(I206="",K206&lt;&gt;""),"",I206-TODAY())</f>
      </c>
      <c r="N206" s="8">
        <f>IF(E206="","",IF(K206&lt;&gt;"",IF(L206="","Preuve à joindre","Levée"),IF(I206="","À planifier",IF(M206&lt;0,"En retard","En cours"))))</f>
      </c>
    </row>
    <row r="207" spans="1:14" x14ac:dyDescent="0.25">
      <c r="A207" s="5">
        <v>203</v>
      </c>
      <c r="B207" s="6"/>
      <c r="C207" s="5"/>
      <c r="D207" s="5"/>
      <c r="E207" s="7"/>
      <c r="F207" s="5"/>
      <c r="G207" s="7"/>
      <c r="H207" s="5"/>
      <c r="I207" s="6"/>
      <c r="J207" s="5"/>
      <c r="K207" s="6"/>
      <c r="L207" s="7"/>
      <c r="M207" s="8">
        <f>IF(OR(I207="",K207&lt;&gt;""),"",I207-TODAY())</f>
      </c>
      <c r="N207" s="8">
        <f>IF(E207="","",IF(K207&lt;&gt;"",IF(L207="","Preuve à joindre","Levée"),IF(I207="","À planifier",IF(M207&lt;0,"En retard","En cours"))))</f>
      </c>
    </row>
    <row r="208" spans="1:14" x14ac:dyDescent="0.25">
      <c r="A208" s="5">
        <v>204</v>
      </c>
      <c r="B208" s="6"/>
      <c r="C208" s="5"/>
      <c r="D208" s="5"/>
      <c r="E208" s="7"/>
      <c r="F208" s="5"/>
      <c r="G208" s="7"/>
      <c r="H208" s="5"/>
      <c r="I208" s="6"/>
      <c r="J208" s="5"/>
      <c r="K208" s="6"/>
      <c r="L208" s="7"/>
      <c r="M208" s="8">
        <f>IF(OR(I208="",K208&lt;&gt;""),"",I208-TODAY())</f>
      </c>
      <c r="N208" s="8">
        <f>IF(E208="","",IF(K208&lt;&gt;"",IF(L208="","Preuve à joindre","Levée"),IF(I208="","À planifier",IF(M208&lt;0,"En retard","En cours"))))</f>
      </c>
    </row>
    <row r="209" spans="1:14" x14ac:dyDescent="0.25">
      <c r="A209" s="5">
        <v>205</v>
      </c>
      <c r="B209" s="6"/>
      <c r="C209" s="5"/>
      <c r="D209" s="5"/>
      <c r="E209" s="7"/>
      <c r="F209" s="5"/>
      <c r="G209" s="7"/>
      <c r="H209" s="5"/>
      <c r="I209" s="6"/>
      <c r="J209" s="5"/>
      <c r="K209" s="6"/>
      <c r="L209" s="7"/>
      <c r="M209" s="8">
        <f>IF(OR(I209="",K209&lt;&gt;""),"",I209-TODAY())</f>
      </c>
      <c r="N209" s="8">
        <f>IF(E209="","",IF(K209&lt;&gt;"",IF(L209="","Preuve à joindre","Levée"),IF(I209="","À planifier",IF(M209&lt;0,"En retard","En cours"))))</f>
      </c>
    </row>
    <row r="210" spans="1:14" x14ac:dyDescent="0.25">
      <c r="A210" s="5">
        <v>206</v>
      </c>
      <c r="B210" s="6"/>
      <c r="C210" s="5"/>
      <c r="D210" s="5"/>
      <c r="E210" s="7"/>
      <c r="F210" s="5"/>
      <c r="G210" s="7"/>
      <c r="H210" s="5"/>
      <c r="I210" s="6"/>
      <c r="J210" s="5"/>
      <c r="K210" s="6"/>
      <c r="L210" s="7"/>
      <c r="M210" s="8">
        <f>IF(OR(I210="",K210&lt;&gt;""),"",I210-TODAY())</f>
      </c>
      <c r="N210" s="8">
        <f>IF(E210="","",IF(K210&lt;&gt;"",IF(L210="","Preuve à joindre","Levée"),IF(I210="","À planifier",IF(M210&lt;0,"En retard","En cours"))))</f>
      </c>
    </row>
    <row r="211" spans="1:14" x14ac:dyDescent="0.25">
      <c r="A211" s="5">
        <v>207</v>
      </c>
      <c r="B211" s="6"/>
      <c r="C211" s="5"/>
      <c r="D211" s="5"/>
      <c r="E211" s="7"/>
      <c r="F211" s="5"/>
      <c r="G211" s="7"/>
      <c r="H211" s="5"/>
      <c r="I211" s="6"/>
      <c r="J211" s="5"/>
      <c r="K211" s="6"/>
      <c r="L211" s="7"/>
      <c r="M211" s="8">
        <f>IF(OR(I211="",K211&lt;&gt;""),"",I211-TODAY())</f>
      </c>
      <c r="N211" s="8">
        <f>IF(E211="","",IF(K211&lt;&gt;"",IF(L211="","Preuve à joindre","Levée"),IF(I211="","À planifier",IF(M211&lt;0,"En retard","En cours"))))</f>
      </c>
    </row>
    <row r="212" spans="1:14" x14ac:dyDescent="0.25">
      <c r="A212" s="5">
        <v>208</v>
      </c>
      <c r="B212" s="6"/>
      <c r="C212" s="5"/>
      <c r="D212" s="5"/>
      <c r="E212" s="7"/>
      <c r="F212" s="5"/>
      <c r="G212" s="7"/>
      <c r="H212" s="5"/>
      <c r="I212" s="6"/>
      <c r="J212" s="5"/>
      <c r="K212" s="6"/>
      <c r="L212" s="7"/>
      <c r="M212" s="8">
        <f>IF(OR(I212="",K212&lt;&gt;""),"",I212-TODAY())</f>
      </c>
      <c r="N212" s="8">
        <f>IF(E212="","",IF(K212&lt;&gt;"",IF(L212="","Preuve à joindre","Levée"),IF(I212="","À planifier",IF(M212&lt;0,"En retard","En cours"))))</f>
      </c>
    </row>
    <row r="213" spans="1:14" x14ac:dyDescent="0.25">
      <c r="A213" s="5">
        <v>209</v>
      </c>
      <c r="B213" s="6"/>
      <c r="C213" s="5"/>
      <c r="D213" s="5"/>
      <c r="E213" s="7"/>
      <c r="F213" s="5"/>
      <c r="G213" s="7"/>
      <c r="H213" s="5"/>
      <c r="I213" s="6"/>
      <c r="J213" s="5"/>
      <c r="K213" s="6"/>
      <c r="L213" s="7"/>
      <c r="M213" s="8">
        <f>IF(OR(I213="",K213&lt;&gt;""),"",I213-TODAY())</f>
      </c>
      <c r="N213" s="8">
        <f>IF(E213="","",IF(K213&lt;&gt;"",IF(L213="","Preuve à joindre","Levée"),IF(I213="","À planifier",IF(M213&lt;0,"En retard","En cours"))))</f>
      </c>
    </row>
    <row r="214" spans="1:14" x14ac:dyDescent="0.25">
      <c r="A214" s="5">
        <v>210</v>
      </c>
      <c r="B214" s="6"/>
      <c r="C214" s="5"/>
      <c r="D214" s="5"/>
      <c r="E214" s="7"/>
      <c r="F214" s="5"/>
      <c r="G214" s="7"/>
      <c r="H214" s="5"/>
      <c r="I214" s="6"/>
      <c r="J214" s="5"/>
      <c r="K214" s="6"/>
      <c r="L214" s="7"/>
      <c r="M214" s="8">
        <f>IF(OR(I214="",K214&lt;&gt;""),"",I214-TODAY())</f>
      </c>
      <c r="N214" s="8">
        <f>IF(E214="","",IF(K214&lt;&gt;"",IF(L214="","Preuve à joindre","Levée"),IF(I214="","À planifier",IF(M214&lt;0,"En retard","En cours"))))</f>
      </c>
    </row>
    <row r="215" spans="1:14" x14ac:dyDescent="0.25">
      <c r="A215" s="5">
        <v>211</v>
      </c>
      <c r="B215" s="6"/>
      <c r="C215" s="5"/>
      <c r="D215" s="5"/>
      <c r="E215" s="7"/>
      <c r="F215" s="5"/>
      <c r="G215" s="7"/>
      <c r="H215" s="5"/>
      <c r="I215" s="6"/>
      <c r="J215" s="5"/>
      <c r="K215" s="6"/>
      <c r="L215" s="7"/>
      <c r="M215" s="8">
        <f>IF(OR(I215="",K215&lt;&gt;""),"",I215-TODAY())</f>
      </c>
      <c r="N215" s="8">
        <f>IF(E215="","",IF(K215&lt;&gt;"",IF(L215="","Preuve à joindre","Levée"),IF(I215="","À planifier",IF(M215&lt;0,"En retard","En cours"))))</f>
      </c>
    </row>
    <row r="216" spans="1:14" x14ac:dyDescent="0.25">
      <c r="A216" s="5">
        <v>212</v>
      </c>
      <c r="B216" s="6"/>
      <c r="C216" s="5"/>
      <c r="D216" s="5"/>
      <c r="E216" s="7"/>
      <c r="F216" s="5"/>
      <c r="G216" s="7"/>
      <c r="H216" s="5"/>
      <c r="I216" s="6"/>
      <c r="J216" s="5"/>
      <c r="K216" s="6"/>
      <c r="L216" s="7"/>
      <c r="M216" s="8">
        <f>IF(OR(I216="",K216&lt;&gt;""),"",I216-TODAY())</f>
      </c>
      <c r="N216" s="8">
        <f>IF(E216="","",IF(K216&lt;&gt;"",IF(L216="","Preuve à joindre","Levée"),IF(I216="","À planifier",IF(M216&lt;0,"En retard","En cours"))))</f>
      </c>
    </row>
    <row r="217" spans="1:14" x14ac:dyDescent="0.25">
      <c r="A217" s="5">
        <v>213</v>
      </c>
      <c r="B217" s="6"/>
      <c r="C217" s="5"/>
      <c r="D217" s="5"/>
      <c r="E217" s="7"/>
      <c r="F217" s="5"/>
      <c r="G217" s="7"/>
      <c r="H217" s="5"/>
      <c r="I217" s="6"/>
      <c r="J217" s="5"/>
      <c r="K217" s="6"/>
      <c r="L217" s="7"/>
      <c r="M217" s="8">
        <f>IF(OR(I217="",K217&lt;&gt;""),"",I217-TODAY())</f>
      </c>
      <c r="N217" s="8">
        <f>IF(E217="","",IF(K217&lt;&gt;"",IF(L217="","Preuve à joindre","Levée"),IF(I217="","À planifier",IF(M217&lt;0,"En retard","En cours"))))</f>
      </c>
    </row>
    <row r="218" spans="1:14" x14ac:dyDescent="0.25">
      <c r="A218" s="5">
        <v>214</v>
      </c>
      <c r="B218" s="6"/>
      <c r="C218" s="5"/>
      <c r="D218" s="5"/>
      <c r="E218" s="7"/>
      <c r="F218" s="5"/>
      <c r="G218" s="7"/>
      <c r="H218" s="5"/>
      <c r="I218" s="6"/>
      <c r="J218" s="5"/>
      <c r="K218" s="6"/>
      <c r="L218" s="7"/>
      <c r="M218" s="8">
        <f>IF(OR(I218="",K218&lt;&gt;""),"",I218-TODAY())</f>
      </c>
      <c r="N218" s="8">
        <f>IF(E218="","",IF(K218&lt;&gt;"",IF(L218="","Preuve à joindre","Levée"),IF(I218="","À planifier",IF(M218&lt;0,"En retard","En cours"))))</f>
      </c>
    </row>
    <row r="219" spans="1:14" x14ac:dyDescent="0.25">
      <c r="A219" s="5">
        <v>215</v>
      </c>
      <c r="B219" s="6"/>
      <c r="C219" s="5"/>
      <c r="D219" s="5"/>
      <c r="E219" s="7"/>
      <c r="F219" s="5"/>
      <c r="G219" s="7"/>
      <c r="H219" s="5"/>
      <c r="I219" s="6"/>
      <c r="J219" s="5"/>
      <c r="K219" s="6"/>
      <c r="L219" s="7"/>
      <c r="M219" s="8">
        <f>IF(OR(I219="",K219&lt;&gt;""),"",I219-TODAY())</f>
      </c>
      <c r="N219" s="8">
        <f>IF(E219="","",IF(K219&lt;&gt;"",IF(L219="","Preuve à joindre","Levée"),IF(I219="","À planifier",IF(M219&lt;0,"En retard","En cours"))))</f>
      </c>
    </row>
    <row r="220" spans="1:14" x14ac:dyDescent="0.25">
      <c r="A220" s="5">
        <v>216</v>
      </c>
      <c r="B220" s="6"/>
      <c r="C220" s="5"/>
      <c r="D220" s="5"/>
      <c r="E220" s="7"/>
      <c r="F220" s="5"/>
      <c r="G220" s="7"/>
      <c r="H220" s="5"/>
      <c r="I220" s="6"/>
      <c r="J220" s="5"/>
      <c r="K220" s="6"/>
      <c r="L220" s="7"/>
      <c r="M220" s="8">
        <f>IF(OR(I220="",K220&lt;&gt;""),"",I220-TODAY())</f>
      </c>
      <c r="N220" s="8">
        <f>IF(E220="","",IF(K220&lt;&gt;"",IF(L220="","Preuve à joindre","Levée"),IF(I220="","À planifier",IF(M220&lt;0,"En retard","En cours"))))</f>
      </c>
    </row>
    <row r="221" spans="1:14" x14ac:dyDescent="0.25">
      <c r="A221" s="5">
        <v>217</v>
      </c>
      <c r="B221" s="6"/>
      <c r="C221" s="5"/>
      <c r="D221" s="5"/>
      <c r="E221" s="7"/>
      <c r="F221" s="5"/>
      <c r="G221" s="7"/>
      <c r="H221" s="5"/>
      <c r="I221" s="6"/>
      <c r="J221" s="5"/>
      <c r="K221" s="6"/>
      <c r="L221" s="7"/>
      <c r="M221" s="8">
        <f>IF(OR(I221="",K221&lt;&gt;""),"",I221-TODAY())</f>
      </c>
      <c r="N221" s="8">
        <f>IF(E221="","",IF(K221&lt;&gt;"",IF(L221="","Preuve à joindre","Levée"),IF(I221="","À planifier",IF(M221&lt;0,"En retard","En cours"))))</f>
      </c>
    </row>
    <row r="222" spans="1:14" x14ac:dyDescent="0.25">
      <c r="A222" s="5">
        <v>218</v>
      </c>
      <c r="B222" s="6"/>
      <c r="C222" s="5"/>
      <c r="D222" s="5"/>
      <c r="E222" s="7"/>
      <c r="F222" s="5"/>
      <c r="G222" s="7"/>
      <c r="H222" s="5"/>
      <c r="I222" s="6"/>
      <c r="J222" s="5"/>
      <c r="K222" s="6"/>
      <c r="L222" s="7"/>
      <c r="M222" s="8">
        <f>IF(OR(I222="",K222&lt;&gt;""),"",I222-TODAY())</f>
      </c>
      <c r="N222" s="8">
        <f>IF(E222="","",IF(K222&lt;&gt;"",IF(L222="","Preuve à joindre","Levée"),IF(I222="","À planifier",IF(M222&lt;0,"En retard","En cours"))))</f>
      </c>
    </row>
    <row r="223" spans="1:14" x14ac:dyDescent="0.25">
      <c r="A223" s="5">
        <v>219</v>
      </c>
      <c r="B223" s="6"/>
      <c r="C223" s="5"/>
      <c r="D223" s="5"/>
      <c r="E223" s="7"/>
      <c r="F223" s="5"/>
      <c r="G223" s="7"/>
      <c r="H223" s="5"/>
      <c r="I223" s="6"/>
      <c r="J223" s="5"/>
      <c r="K223" s="6"/>
      <c r="L223" s="7"/>
      <c r="M223" s="8">
        <f>IF(OR(I223="",K223&lt;&gt;""),"",I223-TODAY())</f>
      </c>
      <c r="N223" s="8">
        <f>IF(E223="","",IF(K223&lt;&gt;"",IF(L223="","Preuve à joindre","Levée"),IF(I223="","À planifier",IF(M223&lt;0,"En retard","En cours"))))</f>
      </c>
    </row>
    <row r="224" spans="1:14" x14ac:dyDescent="0.25">
      <c r="A224" s="5">
        <v>220</v>
      </c>
      <c r="B224" s="6"/>
      <c r="C224" s="5"/>
      <c r="D224" s="5"/>
      <c r="E224" s="7"/>
      <c r="F224" s="5"/>
      <c r="G224" s="7"/>
      <c r="H224" s="5"/>
      <c r="I224" s="6"/>
      <c r="J224" s="5"/>
      <c r="K224" s="6"/>
      <c r="L224" s="7"/>
      <c r="M224" s="8">
        <f>IF(OR(I224="",K224&lt;&gt;""),"",I224-TODAY())</f>
      </c>
      <c r="N224" s="8">
        <f>IF(E224="","",IF(K224&lt;&gt;"",IF(L224="","Preuve à joindre","Levée"),IF(I224="","À planifier",IF(M224&lt;0,"En retard","En cours"))))</f>
      </c>
    </row>
    <row r="225" spans="1:14" x14ac:dyDescent="0.25">
      <c r="A225" s="5">
        <v>221</v>
      </c>
      <c r="B225" s="6"/>
      <c r="C225" s="5"/>
      <c r="D225" s="5"/>
      <c r="E225" s="7"/>
      <c r="F225" s="5"/>
      <c r="G225" s="7"/>
      <c r="H225" s="5"/>
      <c r="I225" s="6"/>
      <c r="J225" s="5"/>
      <c r="K225" s="6"/>
      <c r="L225" s="7"/>
      <c r="M225" s="8">
        <f>IF(OR(I225="",K225&lt;&gt;""),"",I225-TODAY())</f>
      </c>
      <c r="N225" s="8">
        <f>IF(E225="","",IF(K225&lt;&gt;"",IF(L225="","Preuve à joindre","Levée"),IF(I225="","À planifier",IF(M225&lt;0,"En retard","En cours"))))</f>
      </c>
    </row>
    <row r="226" spans="1:14" x14ac:dyDescent="0.25">
      <c r="A226" s="5">
        <v>222</v>
      </c>
      <c r="B226" s="6"/>
      <c r="C226" s="5"/>
      <c r="D226" s="5"/>
      <c r="E226" s="7"/>
      <c r="F226" s="5"/>
      <c r="G226" s="7"/>
      <c r="H226" s="5"/>
      <c r="I226" s="6"/>
      <c r="J226" s="5"/>
      <c r="K226" s="6"/>
      <c r="L226" s="7"/>
      <c r="M226" s="8">
        <f>IF(OR(I226="",K226&lt;&gt;""),"",I226-TODAY())</f>
      </c>
      <c r="N226" s="8">
        <f>IF(E226="","",IF(K226&lt;&gt;"",IF(L226="","Preuve à joindre","Levée"),IF(I226="","À planifier",IF(M226&lt;0,"En retard","En cours"))))</f>
      </c>
    </row>
    <row r="227" spans="1:14" x14ac:dyDescent="0.25">
      <c r="A227" s="5">
        <v>223</v>
      </c>
      <c r="B227" s="6"/>
      <c r="C227" s="5"/>
      <c r="D227" s="5"/>
      <c r="E227" s="7"/>
      <c r="F227" s="5"/>
      <c r="G227" s="7"/>
      <c r="H227" s="5"/>
      <c r="I227" s="6"/>
      <c r="J227" s="5"/>
      <c r="K227" s="6"/>
      <c r="L227" s="7"/>
      <c r="M227" s="8">
        <f>IF(OR(I227="",K227&lt;&gt;""),"",I227-TODAY())</f>
      </c>
      <c r="N227" s="8">
        <f>IF(E227="","",IF(K227&lt;&gt;"",IF(L227="","Preuve à joindre","Levée"),IF(I227="","À planifier",IF(M227&lt;0,"En retard","En cours"))))</f>
      </c>
    </row>
    <row r="228" spans="1:14" x14ac:dyDescent="0.25">
      <c r="A228" s="5">
        <v>224</v>
      </c>
      <c r="B228" s="6"/>
      <c r="C228" s="5"/>
      <c r="D228" s="5"/>
      <c r="E228" s="7"/>
      <c r="F228" s="5"/>
      <c r="G228" s="7"/>
      <c r="H228" s="5"/>
      <c r="I228" s="6"/>
      <c r="J228" s="5"/>
      <c r="K228" s="6"/>
      <c r="L228" s="7"/>
      <c r="M228" s="8">
        <f>IF(OR(I228="",K228&lt;&gt;""),"",I228-TODAY())</f>
      </c>
      <c r="N228" s="8">
        <f>IF(E228="","",IF(K228&lt;&gt;"",IF(L228="","Preuve à joindre","Levée"),IF(I228="","À planifier",IF(M228&lt;0,"En retard","En cours"))))</f>
      </c>
    </row>
    <row r="229" spans="1:14" x14ac:dyDescent="0.25">
      <c r="A229" s="5">
        <v>225</v>
      </c>
      <c r="B229" s="6"/>
      <c r="C229" s="5"/>
      <c r="D229" s="5"/>
      <c r="E229" s="7"/>
      <c r="F229" s="5"/>
      <c r="G229" s="7"/>
      <c r="H229" s="5"/>
      <c r="I229" s="6"/>
      <c r="J229" s="5"/>
      <c r="K229" s="6"/>
      <c r="L229" s="7"/>
      <c r="M229" s="8">
        <f>IF(OR(I229="",K229&lt;&gt;""),"",I229-TODAY())</f>
      </c>
      <c r="N229" s="8">
        <f>IF(E229="","",IF(K229&lt;&gt;"",IF(L229="","Preuve à joindre","Levée"),IF(I229="","À planifier",IF(M229&lt;0,"En retard","En cours"))))</f>
      </c>
    </row>
    <row r="230" spans="1:14" x14ac:dyDescent="0.25">
      <c r="A230" s="5">
        <v>226</v>
      </c>
      <c r="B230" s="6"/>
      <c r="C230" s="5"/>
      <c r="D230" s="5"/>
      <c r="E230" s="7"/>
      <c r="F230" s="5"/>
      <c r="G230" s="7"/>
      <c r="H230" s="5"/>
      <c r="I230" s="6"/>
      <c r="J230" s="5"/>
      <c r="K230" s="6"/>
      <c r="L230" s="7"/>
      <c r="M230" s="8">
        <f>IF(OR(I230="",K230&lt;&gt;""),"",I230-TODAY())</f>
      </c>
      <c r="N230" s="8">
        <f>IF(E230="","",IF(K230&lt;&gt;"",IF(L230="","Preuve à joindre","Levée"),IF(I230="","À planifier",IF(M230&lt;0,"En retard","En cours"))))</f>
      </c>
    </row>
    <row r="231" spans="1:14" x14ac:dyDescent="0.25">
      <c r="A231" s="5">
        <v>227</v>
      </c>
      <c r="B231" s="6"/>
      <c r="C231" s="5"/>
      <c r="D231" s="5"/>
      <c r="E231" s="7"/>
      <c r="F231" s="5"/>
      <c r="G231" s="7"/>
      <c r="H231" s="5"/>
      <c r="I231" s="6"/>
      <c r="J231" s="5"/>
      <c r="K231" s="6"/>
      <c r="L231" s="7"/>
      <c r="M231" s="8">
        <f>IF(OR(I231="",K231&lt;&gt;""),"",I231-TODAY())</f>
      </c>
      <c r="N231" s="8">
        <f>IF(E231="","",IF(K231&lt;&gt;"",IF(L231="","Preuve à joindre","Levée"),IF(I231="","À planifier",IF(M231&lt;0,"En retard","En cours"))))</f>
      </c>
    </row>
    <row r="232" spans="1:14" x14ac:dyDescent="0.25">
      <c r="A232" s="5">
        <v>228</v>
      </c>
      <c r="B232" s="6"/>
      <c r="C232" s="5"/>
      <c r="D232" s="5"/>
      <c r="E232" s="7"/>
      <c r="F232" s="5"/>
      <c r="G232" s="7"/>
      <c r="H232" s="5"/>
      <c r="I232" s="6"/>
      <c r="J232" s="5"/>
      <c r="K232" s="6"/>
      <c r="L232" s="7"/>
      <c r="M232" s="8">
        <f>IF(OR(I232="",K232&lt;&gt;""),"",I232-TODAY())</f>
      </c>
      <c r="N232" s="8">
        <f>IF(E232="","",IF(K232&lt;&gt;"",IF(L232="","Preuve à joindre","Levée"),IF(I232="","À planifier",IF(M232&lt;0,"En retard","En cours"))))</f>
      </c>
    </row>
    <row r="233" spans="1:14" x14ac:dyDescent="0.25">
      <c r="A233" s="5">
        <v>229</v>
      </c>
      <c r="B233" s="6"/>
      <c r="C233" s="5"/>
      <c r="D233" s="5"/>
      <c r="E233" s="7"/>
      <c r="F233" s="5"/>
      <c r="G233" s="7"/>
      <c r="H233" s="5"/>
      <c r="I233" s="6"/>
      <c r="J233" s="5"/>
      <c r="K233" s="6"/>
      <c r="L233" s="7"/>
      <c r="M233" s="8">
        <f>IF(OR(I233="",K233&lt;&gt;""),"",I233-TODAY())</f>
      </c>
      <c r="N233" s="8">
        <f>IF(E233="","",IF(K233&lt;&gt;"",IF(L233="","Preuve à joindre","Levée"),IF(I233="","À planifier",IF(M233&lt;0,"En retard","En cours"))))</f>
      </c>
    </row>
    <row r="234" spans="1:14" x14ac:dyDescent="0.25">
      <c r="A234" s="5">
        <v>230</v>
      </c>
      <c r="B234" s="6"/>
      <c r="C234" s="5"/>
      <c r="D234" s="5"/>
      <c r="E234" s="7"/>
      <c r="F234" s="5"/>
      <c r="G234" s="7"/>
      <c r="H234" s="5"/>
      <c r="I234" s="6"/>
      <c r="J234" s="5"/>
      <c r="K234" s="6"/>
      <c r="L234" s="7"/>
      <c r="M234" s="8">
        <f>IF(OR(I234="",K234&lt;&gt;""),"",I234-TODAY())</f>
      </c>
      <c r="N234" s="8">
        <f>IF(E234="","",IF(K234&lt;&gt;"",IF(L234="","Preuve à joindre","Levée"),IF(I234="","À planifier",IF(M234&lt;0,"En retard","En cours"))))</f>
      </c>
    </row>
    <row r="235" spans="1:14" x14ac:dyDescent="0.25">
      <c r="A235" s="5">
        <v>231</v>
      </c>
      <c r="B235" s="6"/>
      <c r="C235" s="5"/>
      <c r="D235" s="5"/>
      <c r="E235" s="7"/>
      <c r="F235" s="5"/>
      <c r="G235" s="7"/>
      <c r="H235" s="5"/>
      <c r="I235" s="6"/>
      <c r="J235" s="5"/>
      <c r="K235" s="6"/>
      <c r="L235" s="7"/>
      <c r="M235" s="8">
        <f>IF(OR(I235="",K235&lt;&gt;""),"",I235-TODAY())</f>
      </c>
      <c r="N235" s="8">
        <f>IF(E235="","",IF(K235&lt;&gt;"",IF(L235="","Preuve à joindre","Levée"),IF(I235="","À planifier",IF(M235&lt;0,"En retard","En cours"))))</f>
      </c>
    </row>
    <row r="236" spans="1:14" x14ac:dyDescent="0.25">
      <c r="A236" s="5">
        <v>232</v>
      </c>
      <c r="B236" s="6"/>
      <c r="C236" s="5"/>
      <c r="D236" s="5"/>
      <c r="E236" s="7"/>
      <c r="F236" s="5"/>
      <c r="G236" s="7"/>
      <c r="H236" s="5"/>
      <c r="I236" s="6"/>
      <c r="J236" s="5"/>
      <c r="K236" s="6"/>
      <c r="L236" s="7"/>
      <c r="M236" s="8">
        <f>IF(OR(I236="",K236&lt;&gt;""),"",I236-TODAY())</f>
      </c>
      <c r="N236" s="8">
        <f>IF(E236="","",IF(K236&lt;&gt;"",IF(L236="","Preuve à joindre","Levée"),IF(I236="","À planifier",IF(M236&lt;0,"En retard","En cours"))))</f>
      </c>
    </row>
    <row r="237" spans="1:14" x14ac:dyDescent="0.25">
      <c r="A237" s="5">
        <v>233</v>
      </c>
      <c r="B237" s="6"/>
      <c r="C237" s="5"/>
      <c r="D237" s="5"/>
      <c r="E237" s="7"/>
      <c r="F237" s="5"/>
      <c r="G237" s="7"/>
      <c r="H237" s="5"/>
      <c r="I237" s="6"/>
      <c r="J237" s="5"/>
      <c r="K237" s="6"/>
      <c r="L237" s="7"/>
      <c r="M237" s="8">
        <f>IF(OR(I237="",K237&lt;&gt;""),"",I237-TODAY())</f>
      </c>
      <c r="N237" s="8">
        <f>IF(E237="","",IF(K237&lt;&gt;"",IF(L237="","Preuve à joindre","Levée"),IF(I237="","À planifier",IF(M237&lt;0,"En retard","En cours"))))</f>
      </c>
    </row>
    <row r="238" spans="1:14" x14ac:dyDescent="0.25">
      <c r="A238" s="5">
        <v>234</v>
      </c>
      <c r="B238" s="6"/>
      <c r="C238" s="5"/>
      <c r="D238" s="5"/>
      <c r="E238" s="7"/>
      <c r="F238" s="5"/>
      <c r="G238" s="7"/>
      <c r="H238" s="5"/>
      <c r="I238" s="6"/>
      <c r="J238" s="5"/>
      <c r="K238" s="6"/>
      <c r="L238" s="7"/>
      <c r="M238" s="8">
        <f>IF(OR(I238="",K238&lt;&gt;""),"",I238-TODAY())</f>
      </c>
      <c r="N238" s="8">
        <f>IF(E238="","",IF(K238&lt;&gt;"",IF(L238="","Preuve à joindre","Levée"),IF(I238="","À planifier",IF(M238&lt;0,"En retard","En cours"))))</f>
      </c>
    </row>
    <row r="239" spans="1:14" x14ac:dyDescent="0.25">
      <c r="A239" s="5">
        <v>235</v>
      </c>
      <c r="B239" s="6"/>
      <c r="C239" s="5"/>
      <c r="D239" s="5"/>
      <c r="E239" s="7"/>
      <c r="F239" s="5"/>
      <c r="G239" s="7"/>
      <c r="H239" s="5"/>
      <c r="I239" s="6"/>
      <c r="J239" s="5"/>
      <c r="K239" s="6"/>
      <c r="L239" s="7"/>
      <c r="M239" s="8">
        <f>IF(OR(I239="",K239&lt;&gt;""),"",I239-TODAY())</f>
      </c>
      <c r="N239" s="8">
        <f>IF(E239="","",IF(K239&lt;&gt;"",IF(L239="","Preuve à joindre","Levée"),IF(I239="","À planifier",IF(M239&lt;0,"En retard","En cours"))))</f>
      </c>
    </row>
    <row r="240" spans="1:14" x14ac:dyDescent="0.25">
      <c r="A240" s="5">
        <v>236</v>
      </c>
      <c r="B240" s="6"/>
      <c r="C240" s="5"/>
      <c r="D240" s="5"/>
      <c r="E240" s="7"/>
      <c r="F240" s="5"/>
      <c r="G240" s="7"/>
      <c r="H240" s="5"/>
      <c r="I240" s="6"/>
      <c r="J240" s="5"/>
      <c r="K240" s="6"/>
      <c r="L240" s="7"/>
      <c r="M240" s="8">
        <f>IF(OR(I240="",K240&lt;&gt;""),"",I240-TODAY())</f>
      </c>
      <c r="N240" s="8">
        <f>IF(E240="","",IF(K240&lt;&gt;"",IF(L240="","Preuve à joindre","Levée"),IF(I240="","À planifier",IF(M240&lt;0,"En retard","En cours"))))</f>
      </c>
    </row>
    <row r="241" spans="1:14" x14ac:dyDescent="0.25">
      <c r="A241" s="5">
        <v>237</v>
      </c>
      <c r="B241" s="6"/>
      <c r="C241" s="5"/>
      <c r="D241" s="5"/>
      <c r="E241" s="7"/>
      <c r="F241" s="5"/>
      <c r="G241" s="7"/>
      <c r="H241" s="5"/>
      <c r="I241" s="6"/>
      <c r="J241" s="5"/>
      <c r="K241" s="6"/>
      <c r="L241" s="7"/>
      <c r="M241" s="8">
        <f>IF(OR(I241="",K241&lt;&gt;""),"",I241-TODAY())</f>
      </c>
      <c r="N241" s="8">
        <f>IF(E241="","",IF(K241&lt;&gt;"",IF(L241="","Preuve à joindre","Levée"),IF(I241="","À planifier",IF(M241&lt;0,"En retard","En cours"))))</f>
      </c>
    </row>
    <row r="242" spans="1:14" x14ac:dyDescent="0.25">
      <c r="A242" s="5">
        <v>238</v>
      </c>
      <c r="B242" s="6"/>
      <c r="C242" s="5"/>
      <c r="D242" s="5"/>
      <c r="E242" s="7"/>
      <c r="F242" s="5"/>
      <c r="G242" s="7"/>
      <c r="H242" s="5"/>
      <c r="I242" s="6"/>
      <c r="J242" s="5"/>
      <c r="K242" s="6"/>
      <c r="L242" s="7"/>
      <c r="M242" s="8">
        <f>IF(OR(I242="",K242&lt;&gt;""),"",I242-TODAY())</f>
      </c>
      <c r="N242" s="8">
        <f>IF(E242="","",IF(K242&lt;&gt;"",IF(L242="","Preuve à joindre","Levée"),IF(I242="","À planifier",IF(M242&lt;0,"En retard","En cours"))))</f>
      </c>
    </row>
    <row r="243" spans="1:14" x14ac:dyDescent="0.25">
      <c r="A243" s="5">
        <v>239</v>
      </c>
      <c r="B243" s="6"/>
      <c r="C243" s="5"/>
      <c r="D243" s="5"/>
      <c r="E243" s="7"/>
      <c r="F243" s="5"/>
      <c r="G243" s="7"/>
      <c r="H243" s="5"/>
      <c r="I243" s="6"/>
      <c r="J243" s="5"/>
      <c r="K243" s="6"/>
      <c r="L243" s="7"/>
      <c r="M243" s="8">
        <f>IF(OR(I243="",K243&lt;&gt;""),"",I243-TODAY())</f>
      </c>
      <c r="N243" s="8">
        <f>IF(E243="","",IF(K243&lt;&gt;"",IF(L243="","Preuve à joindre","Levée"),IF(I243="","À planifier",IF(M243&lt;0,"En retard","En cours"))))</f>
      </c>
    </row>
    <row r="244" spans="1:14" x14ac:dyDescent="0.25">
      <c r="A244" s="5">
        <v>240</v>
      </c>
      <c r="B244" s="6"/>
      <c r="C244" s="5"/>
      <c r="D244" s="5"/>
      <c r="E244" s="7"/>
      <c r="F244" s="5"/>
      <c r="G244" s="7"/>
      <c r="H244" s="5"/>
      <c r="I244" s="6"/>
      <c r="J244" s="5"/>
      <c r="K244" s="6"/>
      <c r="L244" s="7"/>
      <c r="M244" s="8">
        <f>IF(OR(I244="",K244&lt;&gt;""),"",I244-TODAY())</f>
      </c>
      <c r="N244" s="8">
        <f>IF(E244="","",IF(K244&lt;&gt;"",IF(L244="","Preuve à joindre","Levée"),IF(I244="","À planifier",IF(M244&lt;0,"En retard","En cours"))))</f>
      </c>
    </row>
    <row r="245" spans="1:14" x14ac:dyDescent="0.25">
      <c r="A245" s="5">
        <v>241</v>
      </c>
      <c r="B245" s="6"/>
      <c r="C245" s="5"/>
      <c r="D245" s="5"/>
      <c r="E245" s="7"/>
      <c r="F245" s="5"/>
      <c r="G245" s="7"/>
      <c r="H245" s="5"/>
      <c r="I245" s="6"/>
      <c r="J245" s="5"/>
      <c r="K245" s="6"/>
      <c r="L245" s="7"/>
      <c r="M245" s="8">
        <f>IF(OR(I245="",K245&lt;&gt;""),"",I245-TODAY())</f>
      </c>
      <c r="N245" s="8">
        <f>IF(E245="","",IF(K245&lt;&gt;"",IF(L245="","Preuve à joindre","Levée"),IF(I245="","À planifier",IF(M245&lt;0,"En retard","En cours"))))</f>
      </c>
    </row>
    <row r="246" spans="1:14" x14ac:dyDescent="0.25">
      <c r="A246" s="5">
        <v>242</v>
      </c>
      <c r="B246" s="6"/>
      <c r="C246" s="5"/>
      <c r="D246" s="5"/>
      <c r="E246" s="7"/>
      <c r="F246" s="5"/>
      <c r="G246" s="7"/>
      <c r="H246" s="5"/>
      <c r="I246" s="6"/>
      <c r="J246" s="5"/>
      <c r="K246" s="6"/>
      <c r="L246" s="7"/>
      <c r="M246" s="8">
        <f>IF(OR(I246="",K246&lt;&gt;""),"",I246-TODAY())</f>
      </c>
      <c r="N246" s="8">
        <f>IF(E246="","",IF(K246&lt;&gt;"",IF(L246="","Preuve à joindre","Levée"),IF(I246="","À planifier",IF(M246&lt;0,"En retard","En cours"))))</f>
      </c>
    </row>
    <row r="247" spans="1:14" x14ac:dyDescent="0.25">
      <c r="A247" s="5">
        <v>243</v>
      </c>
      <c r="B247" s="6"/>
      <c r="C247" s="5"/>
      <c r="D247" s="5"/>
      <c r="E247" s="7"/>
      <c r="F247" s="5"/>
      <c r="G247" s="7"/>
      <c r="H247" s="5"/>
      <c r="I247" s="6"/>
      <c r="J247" s="5"/>
      <c r="K247" s="6"/>
      <c r="L247" s="7"/>
      <c r="M247" s="8">
        <f>IF(OR(I247="",K247&lt;&gt;""),"",I247-TODAY())</f>
      </c>
      <c r="N247" s="8">
        <f>IF(E247="","",IF(K247&lt;&gt;"",IF(L247="","Preuve à joindre","Levée"),IF(I247="","À planifier",IF(M247&lt;0,"En retard","En cours"))))</f>
      </c>
    </row>
    <row r="248" spans="1:14" x14ac:dyDescent="0.25">
      <c r="A248" s="5">
        <v>244</v>
      </c>
      <c r="B248" s="6"/>
      <c r="C248" s="5"/>
      <c r="D248" s="5"/>
      <c r="E248" s="7"/>
      <c r="F248" s="5"/>
      <c r="G248" s="7"/>
      <c r="H248" s="5"/>
      <c r="I248" s="6"/>
      <c r="J248" s="5"/>
      <c r="K248" s="6"/>
      <c r="L248" s="7"/>
      <c r="M248" s="8">
        <f>IF(OR(I248="",K248&lt;&gt;""),"",I248-TODAY())</f>
      </c>
      <c r="N248" s="8">
        <f>IF(E248="","",IF(K248&lt;&gt;"",IF(L248="","Preuve à joindre","Levée"),IF(I248="","À planifier",IF(M248&lt;0,"En retard","En cours"))))</f>
      </c>
    </row>
    <row r="249" spans="1:14" x14ac:dyDescent="0.25">
      <c r="A249" s="5">
        <v>245</v>
      </c>
      <c r="B249" s="6"/>
      <c r="C249" s="5"/>
      <c r="D249" s="5"/>
      <c r="E249" s="7"/>
      <c r="F249" s="5"/>
      <c r="G249" s="7"/>
      <c r="H249" s="5"/>
      <c r="I249" s="6"/>
      <c r="J249" s="5"/>
      <c r="K249" s="6"/>
      <c r="L249" s="7"/>
      <c r="M249" s="8">
        <f>IF(OR(I249="",K249&lt;&gt;""),"",I249-TODAY())</f>
      </c>
      <c r="N249" s="8">
        <f>IF(E249="","",IF(K249&lt;&gt;"",IF(L249="","Preuve à joindre","Levée"),IF(I249="","À planifier",IF(M249&lt;0,"En retard","En cours"))))</f>
      </c>
    </row>
    <row r="250" spans="1:14" x14ac:dyDescent="0.25">
      <c r="A250" s="5">
        <v>246</v>
      </c>
      <c r="B250" s="6"/>
      <c r="C250" s="5"/>
      <c r="D250" s="5"/>
      <c r="E250" s="7"/>
      <c r="F250" s="5"/>
      <c r="G250" s="7"/>
      <c r="H250" s="5"/>
      <c r="I250" s="6"/>
      <c r="J250" s="5"/>
      <c r="K250" s="6"/>
      <c r="L250" s="7"/>
      <c r="M250" s="8">
        <f>IF(OR(I250="",K250&lt;&gt;""),"",I250-TODAY())</f>
      </c>
      <c r="N250" s="8">
        <f>IF(E250="","",IF(K250&lt;&gt;"",IF(L250="","Preuve à joindre","Levée"),IF(I250="","À planifier",IF(M250&lt;0,"En retard","En cours"))))</f>
      </c>
    </row>
    <row r="251" spans="1:14" x14ac:dyDescent="0.25">
      <c r="A251" s="5">
        <v>247</v>
      </c>
      <c r="B251" s="6"/>
      <c r="C251" s="5"/>
      <c r="D251" s="5"/>
      <c r="E251" s="7"/>
      <c r="F251" s="5"/>
      <c r="G251" s="7"/>
      <c r="H251" s="5"/>
      <c r="I251" s="6"/>
      <c r="J251" s="5"/>
      <c r="K251" s="6"/>
      <c r="L251" s="7"/>
      <c r="M251" s="8">
        <f>IF(OR(I251="",K251&lt;&gt;""),"",I251-TODAY())</f>
      </c>
      <c r="N251" s="8">
        <f>IF(E251="","",IF(K251&lt;&gt;"",IF(L251="","Preuve à joindre","Levée"),IF(I251="","À planifier",IF(M251&lt;0,"En retard","En cours"))))</f>
      </c>
    </row>
    <row r="252" spans="1:14" x14ac:dyDescent="0.25">
      <c r="A252" s="5">
        <v>248</v>
      </c>
      <c r="B252" s="6"/>
      <c r="C252" s="5"/>
      <c r="D252" s="5"/>
      <c r="E252" s="7"/>
      <c r="F252" s="5"/>
      <c r="G252" s="7"/>
      <c r="H252" s="5"/>
      <c r="I252" s="6"/>
      <c r="J252" s="5"/>
      <c r="K252" s="6"/>
      <c r="L252" s="7"/>
      <c r="M252" s="8">
        <f>IF(OR(I252="",K252&lt;&gt;""),"",I252-TODAY())</f>
      </c>
      <c r="N252" s="8">
        <f>IF(E252="","",IF(K252&lt;&gt;"",IF(L252="","Preuve à joindre","Levée"),IF(I252="","À planifier",IF(M252&lt;0,"En retard","En cours"))))</f>
      </c>
    </row>
    <row r="253" spans="1:14" x14ac:dyDescent="0.25">
      <c r="A253" s="5">
        <v>249</v>
      </c>
      <c r="B253" s="6"/>
      <c r="C253" s="5"/>
      <c r="D253" s="5"/>
      <c r="E253" s="7"/>
      <c r="F253" s="5"/>
      <c r="G253" s="7"/>
      <c r="H253" s="5"/>
      <c r="I253" s="6"/>
      <c r="J253" s="5"/>
      <c r="K253" s="6"/>
      <c r="L253" s="7"/>
      <c r="M253" s="8">
        <f>IF(OR(I253="",K253&lt;&gt;""),"",I253-TODAY())</f>
      </c>
      <c r="N253" s="8">
        <f>IF(E253="","",IF(K253&lt;&gt;"",IF(L253="","Preuve à joindre","Levée"),IF(I253="","À planifier",IF(M253&lt;0,"En retard","En cours"))))</f>
      </c>
    </row>
    <row r="254" spans="1:14" x14ac:dyDescent="0.25">
      <c r="A254" s="5">
        <v>250</v>
      </c>
      <c r="B254" s="6"/>
      <c r="C254" s="5"/>
      <c r="D254" s="5"/>
      <c r="E254" s="7"/>
      <c r="F254" s="5"/>
      <c r="G254" s="7"/>
      <c r="H254" s="5"/>
      <c r="I254" s="6"/>
      <c r="J254" s="5"/>
      <c r="K254" s="6"/>
      <c r="L254" s="7"/>
      <c r="M254" s="8">
        <f>IF(OR(I254="",K254&lt;&gt;""),"",I254-TODAY())</f>
      </c>
      <c r="N254" s="8">
        <f>IF(E254="","",IF(K254&lt;&gt;"",IF(L254="","Preuve à joindre","Levée"),IF(I254="","À planifier",IF(M254&lt;0,"En retard","En cours"))))</f>
      </c>
    </row>
    <row r="255" spans="1:14" x14ac:dyDescent="0.25">
      <c r="A255" s="5">
        <v>251</v>
      </c>
      <c r="B255" s="6"/>
      <c r="C255" s="5"/>
      <c r="D255" s="5"/>
      <c r="E255" s="7"/>
      <c r="F255" s="5"/>
      <c r="G255" s="7"/>
      <c r="H255" s="5"/>
      <c r="I255" s="6"/>
      <c r="J255" s="5"/>
      <c r="K255" s="6"/>
      <c r="L255" s="7"/>
      <c r="M255" s="8">
        <f>IF(OR(I255="",K255&lt;&gt;""),"",I255-TODAY())</f>
      </c>
      <c r="N255" s="8">
        <f>IF(E255="","",IF(K255&lt;&gt;"",IF(L255="","Preuve à joindre","Levée"),IF(I255="","À planifier",IF(M255&lt;0,"En retard","En cours"))))</f>
      </c>
    </row>
    <row r="256" spans="1:14" x14ac:dyDescent="0.25">
      <c r="A256" s="5">
        <v>252</v>
      </c>
      <c r="B256" s="6"/>
      <c r="C256" s="5"/>
      <c r="D256" s="5"/>
      <c r="E256" s="7"/>
      <c r="F256" s="5"/>
      <c r="G256" s="7"/>
      <c r="H256" s="5"/>
      <c r="I256" s="6"/>
      <c r="J256" s="5"/>
      <c r="K256" s="6"/>
      <c r="L256" s="7"/>
      <c r="M256" s="8">
        <f>IF(OR(I256="",K256&lt;&gt;""),"",I256-TODAY())</f>
      </c>
      <c r="N256" s="8">
        <f>IF(E256="","",IF(K256&lt;&gt;"",IF(L256="","Preuve à joindre","Levée"),IF(I256="","À planifier",IF(M256&lt;0,"En retard","En cours"))))</f>
      </c>
    </row>
    <row r="257" spans="1:14" x14ac:dyDescent="0.25">
      <c r="A257" s="5">
        <v>253</v>
      </c>
      <c r="B257" s="6"/>
      <c r="C257" s="5"/>
      <c r="D257" s="5"/>
      <c r="E257" s="7"/>
      <c r="F257" s="5"/>
      <c r="G257" s="7"/>
      <c r="H257" s="5"/>
      <c r="I257" s="6"/>
      <c r="J257" s="5"/>
      <c r="K257" s="6"/>
      <c r="L257" s="7"/>
      <c r="M257" s="8">
        <f>IF(OR(I257="",K257&lt;&gt;""),"",I257-TODAY())</f>
      </c>
      <c r="N257" s="8">
        <f>IF(E257="","",IF(K257&lt;&gt;"",IF(L257="","Preuve à joindre","Levée"),IF(I257="","À planifier",IF(M257&lt;0,"En retard","En cours"))))</f>
      </c>
    </row>
    <row r="258" spans="1:14" x14ac:dyDescent="0.25">
      <c r="A258" s="5">
        <v>254</v>
      </c>
      <c r="B258" s="6"/>
      <c r="C258" s="5"/>
      <c r="D258" s="5"/>
      <c r="E258" s="7"/>
      <c r="F258" s="5"/>
      <c r="G258" s="7"/>
      <c r="H258" s="5"/>
      <c r="I258" s="6"/>
      <c r="J258" s="5"/>
      <c r="K258" s="6"/>
      <c r="L258" s="7"/>
      <c r="M258" s="8">
        <f>IF(OR(I258="",K258&lt;&gt;""),"",I258-TODAY())</f>
      </c>
      <c r="N258" s="8">
        <f>IF(E258="","",IF(K258&lt;&gt;"",IF(L258="","Preuve à joindre","Levée"),IF(I258="","À planifier",IF(M258&lt;0,"En retard","En cours"))))</f>
      </c>
    </row>
    <row r="259" spans="1:14" x14ac:dyDescent="0.25">
      <c r="A259" s="5">
        <v>255</v>
      </c>
      <c r="B259" s="6"/>
      <c r="C259" s="5"/>
      <c r="D259" s="5"/>
      <c r="E259" s="7"/>
      <c r="F259" s="5"/>
      <c r="G259" s="7"/>
      <c r="H259" s="5"/>
      <c r="I259" s="6"/>
      <c r="J259" s="5"/>
      <c r="K259" s="6"/>
      <c r="L259" s="7"/>
      <c r="M259" s="8">
        <f>IF(OR(I259="",K259&lt;&gt;""),"",I259-TODAY())</f>
      </c>
      <c r="N259" s="8">
        <f>IF(E259="","",IF(K259&lt;&gt;"",IF(L259="","Preuve à joindre","Levée"),IF(I259="","À planifier",IF(M259&lt;0,"En retard","En cours"))))</f>
      </c>
    </row>
    <row r="260" spans="1:14" x14ac:dyDescent="0.25">
      <c r="A260" s="5">
        <v>256</v>
      </c>
      <c r="B260" s="6"/>
      <c r="C260" s="5"/>
      <c r="D260" s="5"/>
      <c r="E260" s="7"/>
      <c r="F260" s="5"/>
      <c r="G260" s="7"/>
      <c r="H260" s="5"/>
      <c r="I260" s="6"/>
      <c r="J260" s="5"/>
      <c r="K260" s="6"/>
      <c r="L260" s="7"/>
      <c r="M260" s="8">
        <f>IF(OR(I260="",K260&lt;&gt;""),"",I260-TODAY())</f>
      </c>
      <c r="N260" s="8">
        <f>IF(E260="","",IF(K260&lt;&gt;"",IF(L260="","Preuve à joindre","Levée"),IF(I260="","À planifier",IF(M260&lt;0,"En retard","En cours"))))</f>
      </c>
    </row>
    <row r="261" spans="1:14" x14ac:dyDescent="0.25">
      <c r="A261" s="5">
        <v>257</v>
      </c>
      <c r="B261" s="6"/>
      <c r="C261" s="5"/>
      <c r="D261" s="5"/>
      <c r="E261" s="7"/>
      <c r="F261" s="5"/>
      <c r="G261" s="7"/>
      <c r="H261" s="5"/>
      <c r="I261" s="6"/>
      <c r="J261" s="5"/>
      <c r="K261" s="6"/>
      <c r="L261" s="7"/>
      <c r="M261" s="8">
        <f>IF(OR(I261="",K261&lt;&gt;""),"",I261-TODAY())</f>
      </c>
      <c r="N261" s="8">
        <f>IF(E261="","",IF(K261&lt;&gt;"",IF(L261="","Preuve à joindre","Levée"),IF(I261="","À planifier",IF(M261&lt;0,"En retard","En cours"))))</f>
      </c>
    </row>
    <row r="262" spans="1:14" x14ac:dyDescent="0.25">
      <c r="A262" s="5">
        <v>258</v>
      </c>
      <c r="B262" s="6"/>
      <c r="C262" s="5"/>
      <c r="D262" s="5"/>
      <c r="E262" s="7"/>
      <c r="F262" s="5"/>
      <c r="G262" s="7"/>
      <c r="H262" s="5"/>
      <c r="I262" s="6"/>
      <c r="J262" s="5"/>
      <c r="K262" s="6"/>
      <c r="L262" s="7"/>
      <c r="M262" s="8">
        <f>IF(OR(I262="",K262&lt;&gt;""),"",I262-TODAY())</f>
      </c>
      <c r="N262" s="8">
        <f>IF(E262="","",IF(K262&lt;&gt;"",IF(L262="","Preuve à joindre","Levée"),IF(I262="","À planifier",IF(M262&lt;0,"En retard","En cours"))))</f>
      </c>
    </row>
    <row r="263" spans="1:14" x14ac:dyDescent="0.25">
      <c r="A263" s="5">
        <v>259</v>
      </c>
      <c r="B263" s="6"/>
      <c r="C263" s="5"/>
      <c r="D263" s="5"/>
      <c r="E263" s="7"/>
      <c r="F263" s="5"/>
      <c r="G263" s="7"/>
      <c r="H263" s="5"/>
      <c r="I263" s="6"/>
      <c r="J263" s="5"/>
      <c r="K263" s="6"/>
      <c r="L263" s="7"/>
      <c r="M263" s="8">
        <f>IF(OR(I263="",K263&lt;&gt;""),"",I263-TODAY())</f>
      </c>
      <c r="N263" s="8">
        <f>IF(E263="","",IF(K263&lt;&gt;"",IF(L263="","Preuve à joindre","Levée"),IF(I263="","À planifier",IF(M263&lt;0,"En retard","En cours"))))</f>
      </c>
    </row>
    <row r="264" spans="1:14" x14ac:dyDescent="0.25">
      <c r="A264" s="5">
        <v>260</v>
      </c>
      <c r="B264" s="6"/>
      <c r="C264" s="5"/>
      <c r="D264" s="5"/>
      <c r="E264" s="7"/>
      <c r="F264" s="5"/>
      <c r="G264" s="7"/>
      <c r="H264" s="5"/>
      <c r="I264" s="6"/>
      <c r="J264" s="5"/>
      <c r="K264" s="6"/>
      <c r="L264" s="7"/>
      <c r="M264" s="8">
        <f>IF(OR(I264="",K264&lt;&gt;""),"",I264-TODAY())</f>
      </c>
      <c r="N264" s="8">
        <f>IF(E264="","",IF(K264&lt;&gt;"",IF(L264="","Preuve à joindre","Levée"),IF(I264="","À planifier",IF(M264&lt;0,"En retard","En cours"))))</f>
      </c>
    </row>
    <row r="265" spans="1:14" x14ac:dyDescent="0.25">
      <c r="A265" s="5">
        <v>261</v>
      </c>
      <c r="B265" s="6"/>
      <c r="C265" s="5"/>
      <c r="D265" s="5"/>
      <c r="E265" s="7"/>
      <c r="F265" s="5"/>
      <c r="G265" s="7"/>
      <c r="H265" s="5"/>
      <c r="I265" s="6"/>
      <c r="J265" s="5"/>
      <c r="K265" s="6"/>
      <c r="L265" s="7"/>
      <c r="M265" s="8">
        <f>IF(OR(I265="",K265&lt;&gt;""),"",I265-TODAY())</f>
      </c>
      <c r="N265" s="8">
        <f>IF(E265="","",IF(K265&lt;&gt;"",IF(L265="","Preuve à joindre","Levée"),IF(I265="","À planifier",IF(M265&lt;0,"En retard","En cours"))))</f>
      </c>
    </row>
    <row r="266" spans="1:14" x14ac:dyDescent="0.25">
      <c r="A266" s="5">
        <v>262</v>
      </c>
      <c r="B266" s="6"/>
      <c r="C266" s="5"/>
      <c r="D266" s="5"/>
      <c r="E266" s="7"/>
      <c r="F266" s="5"/>
      <c r="G266" s="7"/>
      <c r="H266" s="5"/>
      <c r="I266" s="6"/>
      <c r="J266" s="5"/>
      <c r="K266" s="6"/>
      <c r="L266" s="7"/>
      <c r="M266" s="8">
        <f>IF(OR(I266="",K266&lt;&gt;""),"",I266-TODAY())</f>
      </c>
      <c r="N266" s="8">
        <f>IF(E266="","",IF(K266&lt;&gt;"",IF(L266="","Preuve à joindre","Levée"),IF(I266="","À planifier",IF(M266&lt;0,"En retard","En cours"))))</f>
      </c>
    </row>
    <row r="267" spans="1:14" x14ac:dyDescent="0.25">
      <c r="A267" s="5">
        <v>263</v>
      </c>
      <c r="B267" s="6"/>
      <c r="C267" s="5"/>
      <c r="D267" s="5"/>
      <c r="E267" s="7"/>
      <c r="F267" s="5"/>
      <c r="G267" s="7"/>
      <c r="H267" s="5"/>
      <c r="I267" s="6"/>
      <c r="J267" s="5"/>
      <c r="K267" s="6"/>
      <c r="L267" s="7"/>
      <c r="M267" s="8">
        <f>IF(OR(I267="",K267&lt;&gt;""),"",I267-TODAY())</f>
      </c>
      <c r="N267" s="8">
        <f>IF(E267="","",IF(K267&lt;&gt;"",IF(L267="","Preuve à joindre","Levée"),IF(I267="","À planifier",IF(M267&lt;0,"En retard","En cours"))))</f>
      </c>
    </row>
    <row r="268" spans="1:14" x14ac:dyDescent="0.25">
      <c r="A268" s="5">
        <v>264</v>
      </c>
      <c r="B268" s="6"/>
      <c r="C268" s="5"/>
      <c r="D268" s="5"/>
      <c r="E268" s="7"/>
      <c r="F268" s="5"/>
      <c r="G268" s="7"/>
      <c r="H268" s="5"/>
      <c r="I268" s="6"/>
      <c r="J268" s="5"/>
      <c r="K268" s="6"/>
      <c r="L268" s="7"/>
      <c r="M268" s="8">
        <f>IF(OR(I268="",K268&lt;&gt;""),"",I268-TODAY())</f>
      </c>
      <c r="N268" s="8">
        <f>IF(E268="","",IF(K268&lt;&gt;"",IF(L268="","Preuve à joindre","Levée"),IF(I268="","À planifier",IF(M268&lt;0,"En retard","En cours"))))</f>
      </c>
    </row>
    <row r="269" spans="1:14" x14ac:dyDescent="0.25">
      <c r="A269" s="5">
        <v>265</v>
      </c>
      <c r="B269" s="6"/>
      <c r="C269" s="5"/>
      <c r="D269" s="5"/>
      <c r="E269" s="7"/>
      <c r="F269" s="5"/>
      <c r="G269" s="7"/>
      <c r="H269" s="5"/>
      <c r="I269" s="6"/>
      <c r="J269" s="5"/>
      <c r="K269" s="6"/>
      <c r="L269" s="7"/>
      <c r="M269" s="8">
        <f>IF(OR(I269="",K269&lt;&gt;""),"",I269-TODAY())</f>
      </c>
      <c r="N269" s="8">
        <f>IF(E269="","",IF(K269&lt;&gt;"",IF(L269="","Preuve à joindre","Levée"),IF(I269="","À planifier",IF(M269&lt;0,"En retard","En cours"))))</f>
      </c>
    </row>
    <row r="270" spans="1:14" x14ac:dyDescent="0.25">
      <c r="A270" s="5">
        <v>266</v>
      </c>
      <c r="B270" s="6"/>
      <c r="C270" s="5"/>
      <c r="D270" s="5"/>
      <c r="E270" s="7"/>
      <c r="F270" s="5"/>
      <c r="G270" s="7"/>
      <c r="H270" s="5"/>
      <c r="I270" s="6"/>
      <c r="J270" s="5"/>
      <c r="K270" s="6"/>
      <c r="L270" s="7"/>
      <c r="M270" s="8">
        <f>IF(OR(I270="",K270&lt;&gt;""),"",I270-TODAY())</f>
      </c>
      <c r="N270" s="8">
        <f>IF(E270="","",IF(K270&lt;&gt;"",IF(L270="","Preuve à joindre","Levée"),IF(I270="","À planifier",IF(M270&lt;0,"En retard","En cours"))))</f>
      </c>
    </row>
    <row r="271" spans="1:14" x14ac:dyDescent="0.25">
      <c r="A271" s="5">
        <v>267</v>
      </c>
      <c r="B271" s="6"/>
      <c r="C271" s="5"/>
      <c r="D271" s="5"/>
      <c r="E271" s="7"/>
      <c r="F271" s="5"/>
      <c r="G271" s="7"/>
      <c r="H271" s="5"/>
      <c r="I271" s="6"/>
      <c r="J271" s="5"/>
      <c r="K271" s="6"/>
      <c r="L271" s="7"/>
      <c r="M271" s="8">
        <f>IF(OR(I271="",K271&lt;&gt;""),"",I271-TODAY())</f>
      </c>
      <c r="N271" s="8">
        <f>IF(E271="","",IF(K271&lt;&gt;"",IF(L271="","Preuve à joindre","Levée"),IF(I271="","À planifier",IF(M271&lt;0,"En retard","En cours"))))</f>
      </c>
    </row>
    <row r="272" spans="1:14" x14ac:dyDescent="0.25">
      <c r="A272" s="5">
        <v>268</v>
      </c>
      <c r="B272" s="6"/>
      <c r="C272" s="5"/>
      <c r="D272" s="5"/>
      <c r="E272" s="7"/>
      <c r="F272" s="5"/>
      <c r="G272" s="7"/>
      <c r="H272" s="5"/>
      <c r="I272" s="6"/>
      <c r="J272" s="5"/>
      <c r="K272" s="6"/>
      <c r="L272" s="7"/>
      <c r="M272" s="8">
        <f>IF(OR(I272="",K272&lt;&gt;""),"",I272-TODAY())</f>
      </c>
      <c r="N272" s="8">
        <f>IF(E272="","",IF(K272&lt;&gt;"",IF(L272="","Preuve à joindre","Levée"),IF(I272="","À planifier",IF(M272&lt;0,"En retard","En cours"))))</f>
      </c>
    </row>
    <row r="273" spans="1:14" x14ac:dyDescent="0.25">
      <c r="A273" s="5">
        <v>269</v>
      </c>
      <c r="B273" s="6"/>
      <c r="C273" s="5"/>
      <c r="D273" s="5"/>
      <c r="E273" s="7"/>
      <c r="F273" s="5"/>
      <c r="G273" s="7"/>
      <c r="H273" s="5"/>
      <c r="I273" s="6"/>
      <c r="J273" s="5"/>
      <c r="K273" s="6"/>
      <c r="L273" s="7"/>
      <c r="M273" s="8">
        <f>IF(OR(I273="",K273&lt;&gt;""),"",I273-TODAY())</f>
      </c>
      <c r="N273" s="8">
        <f>IF(E273="","",IF(K273&lt;&gt;"",IF(L273="","Preuve à joindre","Levée"),IF(I273="","À planifier",IF(M273&lt;0,"En retard","En cours"))))</f>
      </c>
    </row>
    <row r="274" spans="1:14" x14ac:dyDescent="0.25">
      <c r="A274" s="5">
        <v>270</v>
      </c>
      <c r="B274" s="6"/>
      <c r="C274" s="5"/>
      <c r="D274" s="5"/>
      <c r="E274" s="7"/>
      <c r="F274" s="5"/>
      <c r="G274" s="7"/>
      <c r="H274" s="5"/>
      <c r="I274" s="6"/>
      <c r="J274" s="5"/>
      <c r="K274" s="6"/>
      <c r="L274" s="7"/>
      <c r="M274" s="8">
        <f>IF(OR(I274="",K274&lt;&gt;""),"",I274-TODAY())</f>
      </c>
      <c r="N274" s="8">
        <f>IF(E274="","",IF(K274&lt;&gt;"",IF(L274="","Preuve à joindre","Levée"),IF(I274="","À planifier",IF(M274&lt;0,"En retard","En cours"))))</f>
      </c>
    </row>
    <row r="275" spans="1:14" x14ac:dyDescent="0.25">
      <c r="A275" s="5">
        <v>271</v>
      </c>
      <c r="B275" s="6"/>
      <c r="C275" s="5"/>
      <c r="D275" s="5"/>
      <c r="E275" s="7"/>
      <c r="F275" s="5"/>
      <c r="G275" s="7"/>
      <c r="H275" s="5"/>
      <c r="I275" s="6"/>
      <c r="J275" s="5"/>
      <c r="K275" s="6"/>
      <c r="L275" s="7"/>
      <c r="M275" s="8">
        <f>IF(OR(I275="",K275&lt;&gt;""),"",I275-TODAY())</f>
      </c>
      <c r="N275" s="8">
        <f>IF(E275="","",IF(K275&lt;&gt;"",IF(L275="","Preuve à joindre","Levée"),IF(I275="","À planifier",IF(M275&lt;0,"En retard","En cours"))))</f>
      </c>
    </row>
    <row r="276" spans="1:14" x14ac:dyDescent="0.25">
      <c r="A276" s="5">
        <v>272</v>
      </c>
      <c r="B276" s="6"/>
      <c r="C276" s="5"/>
      <c r="D276" s="5"/>
      <c r="E276" s="7"/>
      <c r="F276" s="5"/>
      <c r="G276" s="7"/>
      <c r="H276" s="5"/>
      <c r="I276" s="6"/>
      <c r="J276" s="5"/>
      <c r="K276" s="6"/>
      <c r="L276" s="7"/>
      <c r="M276" s="8">
        <f>IF(OR(I276="",K276&lt;&gt;""),"",I276-TODAY())</f>
      </c>
      <c r="N276" s="8">
        <f>IF(E276="","",IF(K276&lt;&gt;"",IF(L276="","Preuve à joindre","Levée"),IF(I276="","À planifier",IF(M276&lt;0,"En retard","En cours"))))</f>
      </c>
    </row>
    <row r="277" spans="1:14" x14ac:dyDescent="0.25">
      <c r="A277" s="5">
        <v>273</v>
      </c>
      <c r="B277" s="6"/>
      <c r="C277" s="5"/>
      <c r="D277" s="5"/>
      <c r="E277" s="7"/>
      <c r="F277" s="5"/>
      <c r="G277" s="7"/>
      <c r="H277" s="5"/>
      <c r="I277" s="6"/>
      <c r="J277" s="5"/>
      <c r="K277" s="6"/>
      <c r="L277" s="7"/>
      <c r="M277" s="8">
        <f>IF(OR(I277="",K277&lt;&gt;""),"",I277-TODAY())</f>
      </c>
      <c r="N277" s="8">
        <f>IF(E277="","",IF(K277&lt;&gt;"",IF(L277="","Preuve à joindre","Levée"),IF(I277="","À planifier",IF(M277&lt;0,"En retard","En cours"))))</f>
      </c>
    </row>
    <row r="278" spans="1:14" x14ac:dyDescent="0.25">
      <c r="A278" s="5">
        <v>274</v>
      </c>
      <c r="B278" s="6"/>
      <c r="C278" s="5"/>
      <c r="D278" s="5"/>
      <c r="E278" s="7"/>
      <c r="F278" s="5"/>
      <c r="G278" s="7"/>
      <c r="H278" s="5"/>
      <c r="I278" s="6"/>
      <c r="J278" s="5"/>
      <c r="K278" s="6"/>
      <c r="L278" s="7"/>
      <c r="M278" s="8">
        <f>IF(OR(I278="",K278&lt;&gt;""),"",I278-TODAY())</f>
      </c>
      <c r="N278" s="8">
        <f>IF(E278="","",IF(K278&lt;&gt;"",IF(L278="","Preuve à joindre","Levée"),IF(I278="","À planifier",IF(M278&lt;0,"En retard","En cours"))))</f>
      </c>
    </row>
    <row r="279" spans="1:14" x14ac:dyDescent="0.25">
      <c r="A279" s="5">
        <v>275</v>
      </c>
      <c r="B279" s="6"/>
      <c r="C279" s="5"/>
      <c r="D279" s="5"/>
      <c r="E279" s="7"/>
      <c r="F279" s="5"/>
      <c r="G279" s="7"/>
      <c r="H279" s="5"/>
      <c r="I279" s="6"/>
      <c r="J279" s="5"/>
      <c r="K279" s="6"/>
      <c r="L279" s="7"/>
      <c r="M279" s="8">
        <f>IF(OR(I279="",K279&lt;&gt;""),"",I279-TODAY())</f>
      </c>
      <c r="N279" s="8">
        <f>IF(E279="","",IF(K279&lt;&gt;"",IF(L279="","Preuve à joindre","Levée"),IF(I279="","À planifier",IF(M279&lt;0,"En retard","En cours"))))</f>
      </c>
    </row>
    <row r="280" spans="1:14" x14ac:dyDescent="0.25">
      <c r="A280" s="5">
        <v>276</v>
      </c>
      <c r="B280" s="6"/>
      <c r="C280" s="5"/>
      <c r="D280" s="5"/>
      <c r="E280" s="7"/>
      <c r="F280" s="5"/>
      <c r="G280" s="7"/>
      <c r="H280" s="5"/>
      <c r="I280" s="6"/>
      <c r="J280" s="5"/>
      <c r="K280" s="6"/>
      <c r="L280" s="7"/>
      <c r="M280" s="8">
        <f>IF(OR(I280="",K280&lt;&gt;""),"",I280-TODAY())</f>
      </c>
      <c r="N280" s="8">
        <f>IF(E280="","",IF(K280&lt;&gt;"",IF(L280="","Preuve à joindre","Levée"),IF(I280="","À planifier",IF(M280&lt;0,"En retard","En cours"))))</f>
      </c>
    </row>
    <row r="281" spans="1:14" x14ac:dyDescent="0.25">
      <c r="A281" s="5">
        <v>277</v>
      </c>
      <c r="B281" s="6"/>
      <c r="C281" s="5"/>
      <c r="D281" s="5"/>
      <c r="E281" s="7"/>
      <c r="F281" s="5"/>
      <c r="G281" s="7"/>
      <c r="H281" s="5"/>
      <c r="I281" s="6"/>
      <c r="J281" s="5"/>
      <c r="K281" s="6"/>
      <c r="L281" s="7"/>
      <c r="M281" s="8">
        <f>IF(OR(I281="",K281&lt;&gt;""),"",I281-TODAY())</f>
      </c>
      <c r="N281" s="8">
        <f>IF(E281="","",IF(K281&lt;&gt;"",IF(L281="","Preuve à joindre","Levée"),IF(I281="","À planifier",IF(M281&lt;0,"En retard","En cours"))))</f>
      </c>
    </row>
    <row r="282" spans="1:14" x14ac:dyDescent="0.25">
      <c r="A282" s="5">
        <v>278</v>
      </c>
      <c r="B282" s="6"/>
      <c r="C282" s="5"/>
      <c r="D282" s="5"/>
      <c r="E282" s="7"/>
      <c r="F282" s="5"/>
      <c r="G282" s="7"/>
      <c r="H282" s="5"/>
      <c r="I282" s="6"/>
      <c r="J282" s="5"/>
      <c r="K282" s="6"/>
      <c r="L282" s="7"/>
      <c r="M282" s="8">
        <f>IF(OR(I282="",K282&lt;&gt;""),"",I282-TODAY())</f>
      </c>
      <c r="N282" s="8">
        <f>IF(E282="","",IF(K282&lt;&gt;"",IF(L282="","Preuve à joindre","Levée"),IF(I282="","À planifier",IF(M282&lt;0,"En retard","En cours"))))</f>
      </c>
    </row>
    <row r="283" spans="1:14" x14ac:dyDescent="0.25">
      <c r="A283" s="5">
        <v>279</v>
      </c>
      <c r="B283" s="6"/>
      <c r="C283" s="5"/>
      <c r="D283" s="5"/>
      <c r="E283" s="7"/>
      <c r="F283" s="5"/>
      <c r="G283" s="7"/>
      <c r="H283" s="5"/>
      <c r="I283" s="6"/>
      <c r="J283" s="5"/>
      <c r="K283" s="6"/>
      <c r="L283" s="7"/>
      <c r="M283" s="8">
        <f>IF(OR(I283="",K283&lt;&gt;""),"",I283-TODAY())</f>
      </c>
      <c r="N283" s="8">
        <f>IF(E283="","",IF(K283&lt;&gt;"",IF(L283="","Preuve à joindre","Levée"),IF(I283="","À planifier",IF(M283&lt;0,"En retard","En cours"))))</f>
      </c>
    </row>
    <row r="284" spans="1:14" x14ac:dyDescent="0.25">
      <c r="A284" s="5">
        <v>280</v>
      </c>
      <c r="B284" s="6"/>
      <c r="C284" s="5"/>
      <c r="D284" s="5"/>
      <c r="E284" s="7"/>
      <c r="F284" s="5"/>
      <c r="G284" s="7"/>
      <c r="H284" s="5"/>
      <c r="I284" s="6"/>
      <c r="J284" s="5"/>
      <c r="K284" s="6"/>
      <c r="L284" s="7"/>
      <c r="M284" s="8">
        <f>IF(OR(I284="",K284&lt;&gt;""),"",I284-TODAY())</f>
      </c>
      <c r="N284" s="8">
        <f>IF(E284="","",IF(K284&lt;&gt;"",IF(L284="","Preuve à joindre","Levée"),IF(I284="","À planifier",IF(M284&lt;0,"En retard","En cours"))))</f>
      </c>
    </row>
    <row r="285" spans="1:14" x14ac:dyDescent="0.25">
      <c r="A285" s="5">
        <v>281</v>
      </c>
      <c r="B285" s="6"/>
      <c r="C285" s="5"/>
      <c r="D285" s="5"/>
      <c r="E285" s="7"/>
      <c r="F285" s="5"/>
      <c r="G285" s="7"/>
      <c r="H285" s="5"/>
      <c r="I285" s="6"/>
      <c r="J285" s="5"/>
      <c r="K285" s="6"/>
      <c r="L285" s="7"/>
      <c r="M285" s="8">
        <f>IF(OR(I285="",K285&lt;&gt;""),"",I285-TODAY())</f>
      </c>
      <c r="N285" s="8">
        <f>IF(E285="","",IF(K285&lt;&gt;"",IF(L285="","Preuve à joindre","Levée"),IF(I285="","À planifier",IF(M285&lt;0,"En retard","En cours"))))</f>
      </c>
    </row>
    <row r="286" spans="1:14" x14ac:dyDescent="0.25">
      <c r="A286" s="5">
        <v>282</v>
      </c>
      <c r="B286" s="6"/>
      <c r="C286" s="5"/>
      <c r="D286" s="5"/>
      <c r="E286" s="7"/>
      <c r="F286" s="5"/>
      <c r="G286" s="7"/>
      <c r="H286" s="5"/>
      <c r="I286" s="6"/>
      <c r="J286" s="5"/>
      <c r="K286" s="6"/>
      <c r="L286" s="7"/>
      <c r="M286" s="8">
        <f>IF(OR(I286="",K286&lt;&gt;""),"",I286-TODAY())</f>
      </c>
      <c r="N286" s="8">
        <f>IF(E286="","",IF(K286&lt;&gt;"",IF(L286="","Preuve à joindre","Levée"),IF(I286="","À planifier",IF(M286&lt;0,"En retard","En cours"))))</f>
      </c>
    </row>
    <row r="287" spans="1:14" x14ac:dyDescent="0.25">
      <c r="A287" s="5">
        <v>283</v>
      </c>
      <c r="B287" s="6"/>
      <c r="C287" s="5"/>
      <c r="D287" s="5"/>
      <c r="E287" s="7"/>
      <c r="F287" s="5"/>
      <c r="G287" s="7"/>
      <c r="H287" s="5"/>
      <c r="I287" s="6"/>
      <c r="J287" s="5"/>
      <c r="K287" s="6"/>
      <c r="L287" s="7"/>
      <c r="M287" s="8">
        <f>IF(OR(I287="",K287&lt;&gt;""),"",I287-TODAY())</f>
      </c>
      <c r="N287" s="8">
        <f>IF(E287="","",IF(K287&lt;&gt;"",IF(L287="","Preuve à joindre","Levée"),IF(I287="","À planifier",IF(M287&lt;0,"En retard","En cours"))))</f>
      </c>
    </row>
    <row r="288" spans="1:14" x14ac:dyDescent="0.25">
      <c r="A288" s="5">
        <v>284</v>
      </c>
      <c r="B288" s="6"/>
      <c r="C288" s="5"/>
      <c r="D288" s="5"/>
      <c r="E288" s="7"/>
      <c r="F288" s="5"/>
      <c r="G288" s="7"/>
      <c r="H288" s="5"/>
      <c r="I288" s="6"/>
      <c r="J288" s="5"/>
      <c r="K288" s="6"/>
      <c r="L288" s="7"/>
      <c r="M288" s="8">
        <f>IF(OR(I288="",K288&lt;&gt;""),"",I288-TODAY())</f>
      </c>
      <c r="N288" s="8">
        <f>IF(E288="","",IF(K288&lt;&gt;"",IF(L288="","Preuve à joindre","Levée"),IF(I288="","À planifier",IF(M288&lt;0,"En retard","En cours"))))</f>
      </c>
    </row>
    <row r="289" spans="1:14" x14ac:dyDescent="0.25">
      <c r="A289" s="5">
        <v>285</v>
      </c>
      <c r="B289" s="6"/>
      <c r="C289" s="5"/>
      <c r="D289" s="5"/>
      <c r="E289" s="7"/>
      <c r="F289" s="5"/>
      <c r="G289" s="7"/>
      <c r="H289" s="5"/>
      <c r="I289" s="6"/>
      <c r="J289" s="5"/>
      <c r="K289" s="6"/>
      <c r="L289" s="7"/>
      <c r="M289" s="8">
        <f>IF(OR(I289="",K289&lt;&gt;""),"",I289-TODAY())</f>
      </c>
      <c r="N289" s="8">
        <f>IF(E289="","",IF(K289&lt;&gt;"",IF(L289="","Preuve à joindre","Levée"),IF(I289="","À planifier",IF(M289&lt;0,"En retard","En cours"))))</f>
      </c>
    </row>
    <row r="290" spans="1:14" x14ac:dyDescent="0.25">
      <c r="A290" s="5">
        <v>286</v>
      </c>
      <c r="B290" s="6"/>
      <c r="C290" s="5"/>
      <c r="D290" s="5"/>
      <c r="E290" s="7"/>
      <c r="F290" s="5"/>
      <c r="G290" s="7"/>
      <c r="H290" s="5"/>
      <c r="I290" s="6"/>
      <c r="J290" s="5"/>
      <c r="K290" s="6"/>
      <c r="L290" s="7"/>
      <c r="M290" s="8">
        <f>IF(OR(I290="",K290&lt;&gt;""),"",I290-TODAY())</f>
      </c>
      <c r="N290" s="8">
        <f>IF(E290="","",IF(K290&lt;&gt;"",IF(L290="","Preuve à joindre","Levée"),IF(I290="","À planifier",IF(M290&lt;0,"En retard","En cours"))))</f>
      </c>
    </row>
    <row r="291" spans="1:14" x14ac:dyDescent="0.25">
      <c r="A291" s="5">
        <v>287</v>
      </c>
      <c r="B291" s="6"/>
      <c r="C291" s="5"/>
      <c r="D291" s="5"/>
      <c r="E291" s="7"/>
      <c r="F291" s="5"/>
      <c r="G291" s="7"/>
      <c r="H291" s="5"/>
      <c r="I291" s="6"/>
      <c r="J291" s="5"/>
      <c r="K291" s="6"/>
      <c r="L291" s="7"/>
      <c r="M291" s="8">
        <f>IF(OR(I291="",K291&lt;&gt;""),"",I291-TODAY())</f>
      </c>
      <c r="N291" s="8">
        <f>IF(E291="","",IF(K291&lt;&gt;"",IF(L291="","Preuve à joindre","Levée"),IF(I291="","À planifier",IF(M291&lt;0,"En retard","En cours"))))</f>
      </c>
    </row>
    <row r="292" spans="1:14" x14ac:dyDescent="0.25">
      <c r="A292" s="5">
        <v>288</v>
      </c>
      <c r="B292" s="6"/>
      <c r="C292" s="5"/>
      <c r="D292" s="5"/>
      <c r="E292" s="7"/>
      <c r="F292" s="5"/>
      <c r="G292" s="7"/>
      <c r="H292" s="5"/>
      <c r="I292" s="6"/>
      <c r="J292" s="5"/>
      <c r="K292" s="6"/>
      <c r="L292" s="7"/>
      <c r="M292" s="8">
        <f>IF(OR(I292="",K292&lt;&gt;""),"",I292-TODAY())</f>
      </c>
      <c r="N292" s="8">
        <f>IF(E292="","",IF(K292&lt;&gt;"",IF(L292="","Preuve à joindre","Levée"),IF(I292="","À planifier",IF(M292&lt;0,"En retard","En cours"))))</f>
      </c>
    </row>
    <row r="293" spans="1:14" x14ac:dyDescent="0.25">
      <c r="A293" s="5">
        <v>289</v>
      </c>
      <c r="B293" s="6"/>
      <c r="C293" s="5"/>
      <c r="D293" s="5"/>
      <c r="E293" s="7"/>
      <c r="F293" s="5"/>
      <c r="G293" s="7"/>
      <c r="H293" s="5"/>
      <c r="I293" s="6"/>
      <c r="J293" s="5"/>
      <c r="K293" s="6"/>
      <c r="L293" s="7"/>
      <c r="M293" s="8">
        <f>IF(OR(I293="",K293&lt;&gt;""),"",I293-TODAY())</f>
      </c>
      <c r="N293" s="8">
        <f>IF(E293="","",IF(K293&lt;&gt;"",IF(L293="","Preuve à joindre","Levée"),IF(I293="","À planifier",IF(M293&lt;0,"En retard","En cours"))))</f>
      </c>
    </row>
    <row r="294" spans="1:14" x14ac:dyDescent="0.25">
      <c r="A294" s="5">
        <v>290</v>
      </c>
      <c r="B294" s="6"/>
      <c r="C294" s="5"/>
      <c r="D294" s="5"/>
      <c r="E294" s="7"/>
      <c r="F294" s="5"/>
      <c r="G294" s="7"/>
      <c r="H294" s="5"/>
      <c r="I294" s="6"/>
      <c r="J294" s="5"/>
      <c r="K294" s="6"/>
      <c r="L294" s="7"/>
      <c r="M294" s="8">
        <f>IF(OR(I294="",K294&lt;&gt;""),"",I294-TODAY())</f>
      </c>
      <c r="N294" s="8">
        <f>IF(E294="","",IF(K294&lt;&gt;"",IF(L294="","Preuve à joindre","Levée"),IF(I294="","À planifier",IF(M294&lt;0,"En retard","En cours"))))</f>
      </c>
    </row>
    <row r="295" spans="1:14" x14ac:dyDescent="0.25">
      <c r="A295" s="5">
        <v>291</v>
      </c>
      <c r="B295" s="6"/>
      <c r="C295" s="5"/>
      <c r="D295" s="5"/>
      <c r="E295" s="7"/>
      <c r="F295" s="5"/>
      <c r="G295" s="7"/>
      <c r="H295" s="5"/>
      <c r="I295" s="6"/>
      <c r="J295" s="5"/>
      <c r="K295" s="6"/>
      <c r="L295" s="7"/>
      <c r="M295" s="8">
        <f>IF(OR(I295="",K295&lt;&gt;""),"",I295-TODAY())</f>
      </c>
      <c r="N295" s="8">
        <f>IF(E295="","",IF(K295&lt;&gt;"",IF(L295="","Preuve à joindre","Levée"),IF(I295="","À planifier",IF(M295&lt;0,"En retard","En cours"))))</f>
      </c>
    </row>
    <row r="296" spans="1:14" x14ac:dyDescent="0.25">
      <c r="A296" s="5">
        <v>292</v>
      </c>
      <c r="B296" s="6"/>
      <c r="C296" s="5"/>
      <c r="D296" s="5"/>
      <c r="E296" s="7"/>
      <c r="F296" s="5"/>
      <c r="G296" s="7"/>
      <c r="H296" s="5"/>
      <c r="I296" s="6"/>
      <c r="J296" s="5"/>
      <c r="K296" s="6"/>
      <c r="L296" s="7"/>
      <c r="M296" s="8">
        <f>IF(OR(I296="",K296&lt;&gt;""),"",I296-TODAY())</f>
      </c>
      <c r="N296" s="8">
        <f>IF(E296="","",IF(K296&lt;&gt;"",IF(L296="","Preuve à joindre","Levée"),IF(I296="","À planifier",IF(M296&lt;0,"En retard","En cours"))))</f>
      </c>
    </row>
    <row r="297" spans="1:14" x14ac:dyDescent="0.25">
      <c r="A297" s="5">
        <v>293</v>
      </c>
      <c r="B297" s="6"/>
      <c r="C297" s="5"/>
      <c r="D297" s="5"/>
      <c r="E297" s="7"/>
      <c r="F297" s="5"/>
      <c r="G297" s="7"/>
      <c r="H297" s="5"/>
      <c r="I297" s="6"/>
      <c r="J297" s="5"/>
      <c r="K297" s="6"/>
      <c r="L297" s="7"/>
      <c r="M297" s="8">
        <f>IF(OR(I297="",K297&lt;&gt;""),"",I297-TODAY())</f>
      </c>
      <c r="N297" s="8">
        <f>IF(E297="","",IF(K297&lt;&gt;"",IF(L297="","Preuve à joindre","Levée"),IF(I297="","À planifier",IF(M297&lt;0,"En retard","En cours"))))</f>
      </c>
    </row>
    <row r="298" spans="1:14" x14ac:dyDescent="0.25">
      <c r="A298" s="5">
        <v>294</v>
      </c>
      <c r="B298" s="6"/>
      <c r="C298" s="5"/>
      <c r="D298" s="5"/>
      <c r="E298" s="7"/>
      <c r="F298" s="5"/>
      <c r="G298" s="7"/>
      <c r="H298" s="5"/>
      <c r="I298" s="6"/>
      <c r="J298" s="5"/>
      <c r="K298" s="6"/>
      <c r="L298" s="7"/>
      <c r="M298" s="8">
        <f>IF(OR(I298="",K298&lt;&gt;""),"",I298-TODAY())</f>
      </c>
      <c r="N298" s="8">
        <f>IF(E298="","",IF(K298&lt;&gt;"",IF(L298="","Preuve à joindre","Levée"),IF(I298="","À planifier",IF(M298&lt;0,"En retard","En cours"))))</f>
      </c>
    </row>
    <row r="299" spans="1:14" x14ac:dyDescent="0.25">
      <c r="A299" s="5">
        <v>295</v>
      </c>
      <c r="B299" s="6"/>
      <c r="C299" s="5"/>
      <c r="D299" s="5"/>
      <c r="E299" s="7"/>
      <c r="F299" s="5"/>
      <c r="G299" s="7"/>
      <c r="H299" s="5"/>
      <c r="I299" s="6"/>
      <c r="J299" s="5"/>
      <c r="K299" s="6"/>
      <c r="L299" s="7"/>
      <c r="M299" s="8">
        <f>IF(OR(I299="",K299&lt;&gt;""),"",I299-TODAY())</f>
      </c>
      <c r="N299" s="8">
        <f>IF(E299="","",IF(K299&lt;&gt;"",IF(L299="","Preuve à joindre","Levée"),IF(I299="","À planifier",IF(M299&lt;0,"En retard","En cours"))))</f>
      </c>
    </row>
    <row r="300" spans="1:14" x14ac:dyDescent="0.25">
      <c r="A300" s="5">
        <v>296</v>
      </c>
      <c r="B300" s="6"/>
      <c r="C300" s="5"/>
      <c r="D300" s="5"/>
      <c r="E300" s="7"/>
      <c r="F300" s="5"/>
      <c r="G300" s="7"/>
      <c r="H300" s="5"/>
      <c r="I300" s="6"/>
      <c r="J300" s="5"/>
      <c r="K300" s="6"/>
      <c r="L300" s="7"/>
      <c r="M300" s="8">
        <f>IF(OR(I300="",K300&lt;&gt;""),"",I300-TODAY())</f>
      </c>
      <c r="N300" s="8">
        <f>IF(E300="","",IF(K300&lt;&gt;"",IF(L300="","Preuve à joindre","Levée"),IF(I300="","À planifier",IF(M300&lt;0,"En retard","En cours"))))</f>
      </c>
    </row>
    <row r="301" spans="1:14" x14ac:dyDescent="0.25">
      <c r="A301" s="5">
        <v>297</v>
      </c>
      <c r="B301" s="6"/>
      <c r="C301" s="5"/>
      <c r="D301" s="5"/>
      <c r="E301" s="7"/>
      <c r="F301" s="5"/>
      <c r="G301" s="7"/>
      <c r="H301" s="5"/>
      <c r="I301" s="6"/>
      <c r="J301" s="5"/>
      <c r="K301" s="6"/>
      <c r="L301" s="7"/>
      <c r="M301" s="8">
        <f>IF(OR(I301="",K301&lt;&gt;""),"",I301-TODAY())</f>
      </c>
      <c r="N301" s="8">
        <f>IF(E301="","",IF(K301&lt;&gt;"",IF(L301="","Preuve à joindre","Levée"),IF(I301="","À planifier",IF(M301&lt;0,"En retard","En cours"))))</f>
      </c>
    </row>
    <row r="302" spans="1:14" x14ac:dyDescent="0.25">
      <c r="A302" s="5">
        <v>298</v>
      </c>
      <c r="B302" s="6"/>
      <c r="C302" s="5"/>
      <c r="D302" s="5"/>
      <c r="E302" s="7"/>
      <c r="F302" s="5"/>
      <c r="G302" s="7"/>
      <c r="H302" s="5"/>
      <c r="I302" s="6"/>
      <c r="J302" s="5"/>
      <c r="K302" s="6"/>
      <c r="L302" s="7"/>
      <c r="M302" s="8">
        <f>IF(OR(I302="",K302&lt;&gt;""),"",I302-TODAY())</f>
      </c>
      <c r="N302" s="8">
        <f>IF(E302="","",IF(K302&lt;&gt;"",IF(L302="","Preuve à joindre","Levée"),IF(I302="","À planifier",IF(M302&lt;0,"En retard","En cours"))))</f>
      </c>
    </row>
    <row r="303" spans="1:14" x14ac:dyDescent="0.25">
      <c r="A303" s="5">
        <v>299</v>
      </c>
      <c r="B303" s="6"/>
      <c r="C303" s="5"/>
      <c r="D303" s="5"/>
      <c r="E303" s="7"/>
      <c r="F303" s="5"/>
      <c r="G303" s="7"/>
      <c r="H303" s="5"/>
      <c r="I303" s="6"/>
      <c r="J303" s="5"/>
      <c r="K303" s="6"/>
      <c r="L303" s="7"/>
      <c r="M303" s="8">
        <f>IF(OR(I303="",K303&lt;&gt;""),"",I303-TODAY())</f>
      </c>
      <c r="N303" s="8">
        <f>IF(E303="","",IF(K303&lt;&gt;"",IF(L303="","Preuve à joindre","Levée"),IF(I303="","À planifier",IF(M303&lt;0,"En retard","En cours"))))</f>
      </c>
    </row>
    <row r="304" spans="1:14" x14ac:dyDescent="0.25">
      <c r="A304" s="5">
        <v>300</v>
      </c>
      <c r="B304" s="6"/>
      <c r="C304" s="5"/>
      <c r="D304" s="5"/>
      <c r="E304" s="7"/>
      <c r="F304" s="5"/>
      <c r="G304" s="7"/>
      <c r="H304" s="5"/>
      <c r="I304" s="6"/>
      <c r="J304" s="5"/>
      <c r="K304" s="6"/>
      <c r="L304" s="7"/>
      <c r="M304" s="8">
        <f>IF(OR(I304="",K304&lt;&gt;""),"",I304-TODAY())</f>
      </c>
      <c r="N304" s="8">
        <f>IF(E304="","",IF(K304&lt;&gt;"",IF(L304="","Preuve à joindre","Levée"),IF(I304="","À planifier",IF(M304&lt;0,"En retard","En cours"))))</f>
      </c>
    </row>
  </sheetData>
  <autoFilter ref="A4:N304"/>
  <mergeCells count="2">
    <mergeCell ref="A1:N1"/>
    <mergeCell ref="A2:N2"/>
  </mergeCells>
  <conditionalFormatting sqref="N5:N304">
    <cfRule type="expression" dxfId="3" priority="1">
      <formula>$N5="En retard"</formula>
    </cfRule>
    <cfRule type="expression" dxfId="4" priority="2">
      <formula>OR($N5="À planifier",$N5="Preuve à joindre")</formula>
    </cfRule>
    <cfRule type="expression" dxfId="5" priority="3">
      <formula>$N5="Levée"</formula>
    </cfRule>
  </conditionalFormatting>
  <dataValidations count="4">
    <dataValidation type="date" operator="greaterThan" allowBlank="1" showErrorMessage="1" errorTitle="Date attendue" error="Saisissez une date, par exemple 12/03/2026." sqref="B5:B304">
      <formula1>36526</formula1>
    </dataValidation>
    <dataValidation type="list" allowBlank="1" sqref="F5:F304">
      <formula1>"Immédiat,Planifié,À surveiller"</formula1>
    </dataValidation>
    <dataValidation type="date" operator="greaterThan" allowBlank="1" showErrorMessage="1" errorTitle="Date attendue" error="Saisissez une date, par exemple 12/03/2026." sqref="I5:I304">
      <formula1>36526</formula1>
    </dataValidation>
    <dataValidation type="date" operator="greaterThan" allowBlank="1" showErrorMessage="1" errorTitle="Date attendue" error="Saisissez une date, par exemple 12/03/2026." sqref="K5:K304">
      <formula1>36526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&amp;Lmodele-vgp.fr&amp;RPage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x14ac:dyDescent="0.25">
      <c r="A1" s="15" t="s">
        <v>40</v>
      </c>
    </row>
    <row r="2" spans="1:1" x14ac:dyDescent="0.25">
      <c r="A2" s="16" t="s">
        <v>41</v>
      </c>
    </row>
    <row r="3" spans="1:1" x14ac:dyDescent="0.25">
      <c r="A3" s="16" t="s">
        <v>42</v>
      </c>
    </row>
    <row r="4" spans="1:1" x14ac:dyDescent="0.25">
      <c r="A4" s="16" t="s">
        <v>43</v>
      </c>
    </row>
    <row r="5" spans="1:1" x14ac:dyDescent="0.25">
      <c r="A5" s="16" t="s">
        <v>44</v>
      </c>
    </row>
    <row r="6" spans="1:1" x14ac:dyDescent="0.25">
      <c r="A6" s="16" t="s">
        <v>45</v>
      </c>
    </row>
    <row r="7" spans="1:1" x14ac:dyDescent="0.25">
      <c r="A7" s="15" t="s">
        <v>46</v>
      </c>
    </row>
    <row r="8" spans="1:1" x14ac:dyDescent="0.25">
      <c r="A8" s="16" t="s">
        <v>47</v>
      </c>
    </row>
    <row r="9" spans="1:1" x14ac:dyDescent="0.25">
      <c r="A9" s="16" t="s">
        <v>48</v>
      </c>
    </row>
    <row r="10" spans="1:1" x14ac:dyDescent="0.25">
      <c r="A10" s="17" t="s">
        <v>49</v>
      </c>
    </row>
    <row r="11" spans="1:1" x14ac:dyDescent="0.25">
      <c r="A11" s="16" t="s">
        <v>45</v>
      </c>
    </row>
    <row r="12" spans="1:1" x14ac:dyDescent="0.25">
      <c r="A12" s="15" t="s">
        <v>50</v>
      </c>
    </row>
    <row r="13" spans="1:1" x14ac:dyDescent="0.25">
      <c r="A13" s="16" t="s">
        <v>51</v>
      </c>
    </row>
    <row r="14" spans="1:1" x14ac:dyDescent="0.25">
      <c r="A14" s="17" t="s">
        <v>52</v>
      </c>
    </row>
    <row r="15" spans="1:1" x14ac:dyDescent="0.25">
      <c r="A15" s="16" t="s">
        <v>45</v>
      </c>
    </row>
    <row r="16" spans="1:1" x14ac:dyDescent="0.25">
      <c r="A16" s="16" t="s">
        <v>53</v>
      </c>
    </row>
    <row r="17" spans="1:1" x14ac:dyDescent="0.25">
      <c r="A17" s="17" t="s">
        <v>54</v>
      </c>
    </row>
  </sheetData>
  <hyperlinks>
    <hyperlink ref="A10" r:id="rId1"/>
    <hyperlink ref="A14" r:id="rId2"/>
    <hyperlink ref="A1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Réserves</vt:lpstr>
      <vt:lpstr>Tableau de bord</vt:lpstr>
      <vt:lpstr>Exemple</vt:lpstr>
      <vt:lpstr>Mode d’emploi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modele-vgp.fr</dc:creator>
  <dc:title>Suivi des observations et levée des réserves</dc:title>
  <dc:subject/>
  <dc:description/>
  <cp:keywords/>
  <cp:category/>
  <cp:lastModifiedBy>Unknown</cp:lastModifiedBy>
  <dcterms:created xsi:type="dcterms:W3CDTF">2026-10-19T08:05:21Z</dcterms:created>
  <dcterms:modified xsi:type="dcterms:W3CDTF">2026-10-19T08:05:21Z</dcterms:modified>
</cp:coreProperties>
</file>