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e" state="visible" r:id="rId4"/>
    <sheet sheetId="2" name="Tableau de bord" state="visible" r:id="rId5"/>
    <sheet sheetId="3" name="Exemple" state="visible" r:id="rId6"/>
    <sheet sheetId="4" name="Mode d’emploi" state="visible" r:id="rId7"/>
  </sheets>
  <definedNames>
    <definedName name="_xlnm.Print_Titles" localSheetId="0">'Registre'!$4:$4</definedName>
    <definedName name="_xlnm.Print_Titles" localSheetId="2">'Exemple'!$4:$4</definedName>
  </definedNames>
  <calcPr calcId="171027" fullCalcOnLoad="1"/>
</workbook>
</file>

<file path=xl/sharedStrings.xml><?xml version="1.0" encoding="utf-8"?>
<sst xmlns="http://schemas.openxmlformats.org/spreadsheetml/2006/main" count="88" uniqueCount="61">
  <si>
    <t>Registre de sécurité · vérifications des appareils de levage</t>
  </si>
  <si>
    <t>Une ligne par vérification : date, appareil, nature, vérificateur et rapport. Les observations et leurs suites se suivent dans le classeur « Suivi des réserves ».</t>
  </si>
  <si>
    <t>N°</t>
  </si>
  <si>
    <t>Date de la vérification</t>
  </si>
  <si>
    <t>Équipement (repère)</t>
  </si>
  <si>
    <t>Type d’équipement</t>
  </si>
  <si>
    <t>Nature de la vérification</t>
  </si>
  <si>
    <t>Vérificateur (nom et qualité)</t>
  </si>
  <si>
    <t>Interne ou externe</t>
  </si>
  <si>
    <t>N° du rapport</t>
  </si>
  <si>
    <t>Date de remise du rapport</t>
  </si>
  <si>
    <t>Rapport annexé au registre</t>
  </si>
  <si>
    <t>Observations</t>
  </si>
  <si>
    <t>Résumé des observations</t>
  </si>
  <si>
    <t>Suites décidées</t>
  </si>
  <si>
    <t>Lieu d’archivage du rapport</t>
  </si>
  <si>
    <t>À vérifier</t>
  </si>
  <si>
    <t>Tableau de bord · Registre</t>
  </si>
  <si>
    <t>Vérifications enregistrées</t>
  </si>
  <si>
    <t>Rapports externes à annexer</t>
  </si>
  <si>
    <t>Observations sans suite décidée</t>
  </si>
  <si>
    <t>Lignes complètes</t>
  </si>
  <si>
    <t>Dernière vérification</t>
  </si>
  <si>
    <t>Calculé depuis l’onglet « Registre ». L’onglet « Exemple » n’est pas compté.</t>
  </si>
  <si>
    <t>Chariot EXEMPLE quai 2</t>
  </si>
  <si>
    <t>Chariot élévateur</t>
  </si>
  <si>
    <t>Périodique</t>
  </si>
  <si>
    <t>EXEMPLE Contrôle, personne qualifiée</t>
  </si>
  <si>
    <t>Externe</t>
  </si>
  <si>
    <t>R-0001</t>
  </si>
  <si>
    <t>Oui</t>
  </si>
  <si>
    <t>Non</t>
  </si>
  <si>
    <t>Classeur registre, atelier</t>
  </si>
  <si>
    <t>Pont EXEMPLE atelier</t>
  </si>
  <si>
    <t>Pont roulant palan potence</t>
  </si>
  <si>
    <t>R-0002</t>
  </si>
  <si>
    <t>Usure du câble de levage</t>
  </si>
  <si>
    <t>Remplacement planifié, voir suivi des réserves</t>
  </si>
  <si>
    <t>Nacelle EXEMPLE</t>
  </si>
  <si>
    <t>Nacelle (PEMP)</t>
  </si>
  <si>
    <t>Remise en service</t>
  </si>
  <si>
    <t>Responsable maintenance, personne qualifiée interne</t>
  </si>
  <si>
    <t>Interne</t>
  </si>
  <si>
    <t>R-0003</t>
  </si>
  <si>
    <t>Garde-corps de la plateforme à resserrer</t>
  </si>
  <si>
    <t>Dossier nacelle</t>
  </si>
  <si>
    <t>Registre de sécurité · modele-vgp.fr</t>
  </si>
  <si>
    <t>1. Une ligne par vérification : mise en service, périodique ou remise en service.</t>
  </si>
  <si>
    <t>2. Indiquez le vérificateur, son nom et sa qualité, et s’il est interne ou externe à l’établissement.</t>
  </si>
  <si>
    <t>3. Reportez la référence et la date de remise du rapport, et l’endroit où il est archivé.</t>
  </si>
  <si>
    <t>4. La colonne « À vérifier » vous signale un rapport externe à annexer ou des observations sans suite décidée.</t>
  </si>
  <si>
    <t/>
  </si>
  <si>
    <t>Bon à savoir</t>
  </si>
  <si>
    <t>Le Code du travail prévoit que les résultats des vérifications sont consignés au registre de sécurité, et que le rapport d’un vérificateur externe y est annexé (art. R4323-25 et R4323-26).</t>
  </si>
  <si>
    <t>Textes et explications : la page du modèle sur le site.</t>
  </si>
  <si>
    <t>https://modele-vgp.fr/modeles/registre-securite-vgp/</t>
  </si>
  <si>
    <t>Votre parc grandit ?</t>
  </si>
  <si>
    <t>Au-delà d’une vingtaine d’équipements ou de plusieurs sites, un logiciel envoie les rappels, archive les rapports et partage le suivi. Comparez-les selon votre profil :</t>
  </si>
  <si>
    <t>https://modele-vgp.fr/logiciels-vgp/</t>
  </si>
  <si>
    <t>Faire réaliser une VGP près de chez vous :</t>
  </si>
  <si>
    <t>https://modele-vgp.fr/devis/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</si>
</sst>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0" x14ac:knownFonts="1">
    <font>
      <color theme="1"/>
      <family val="2"/>
      <scheme val="minor"/>
      <sz val="11"/>
      <name val="Calibri"/>
    </font>
    <font>
      <b/>
      <color rgb="FF12314F"/>
      <sz val="16"/>
    </font>
    <font>
      <i/>
      <color rgb="FF5A6B80"/>
    </font>
    <font>
      <b/>
      <color rgb="FF12805F"/>
    </font>
    <font>
      <b/>
      <color rgb="FFFFFFFF"/>
    </font>
    <font>
      <b/>
      <color rgb="FF12314F"/>
    </font>
    <font>
      <b/>
      <color rgb="FF9A6700"/>
      <sz val="16"/>
    </font>
    <font>
      <b/>
      <color rgb="FF0E6B4F"/>
      <sz val="16"/>
    </font>
    <font>
      <b/>
      <color rgb="FF12314F"/>
      <sz val="13"/>
    </font>
    <font>
      <u/>
      <color rgb="FF12805F"/>
    </font>
  </fonts>
  <fills count="6">
    <fill>
      <patternFill patternType="none"/>
    </fill>
    <fill>
      <patternFill patternType="gray125"/>
    </fill>
    <fill>
      <patternFill patternType="solid">
        <fgColor rgb="FF12314F"/>
      </patternFill>
    </fill>
    <fill>
      <patternFill patternType="solid">
        <fgColor rgb="FFF7F9FC"/>
      </patternFill>
    </fill>
    <fill>
      <patternFill patternType="solid">
        <fgColor rgb="FFFFF7E6"/>
      </patternFill>
    </fill>
    <fill>
      <patternFill patternType="solid">
        <fgColor rgb="FFEEF8F3"/>
      </patternFill>
    </fill>
  </fills>
  <borders count="2">
    <border>
      <left/>
      <right/>
      <top/>
      <bottom/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6">
    <dxf>
      <font>
        <b/>
        <color rgb="FF9A6700"/>
      </font>
      <fill>
        <patternFill patternType="solid">
          <bgColor rgb="FFFFF7E6"/>
        </patternFill>
      </fill>
    </dxf>
    <dxf>
      <font>
        <b/>
        <color rgb="FF9A6700"/>
      </font>
      <fill>
        <patternFill patternType="solid">
          <bgColor rgb="FFFFF7E6"/>
        </patternFill>
      </fill>
    </dxf>
    <dxf>
      <font>
        <b/>
        <color rgb="FF0E6B4F"/>
      </font>
      <fill>
        <patternFill patternType="solid">
          <bgColor rgb="FFEEF8F3"/>
        </patternFill>
      </fill>
    </dxf>
    <dxf>
      <font>
        <b/>
        <color rgb="FF9A6700"/>
      </font>
      <fill>
        <patternFill patternType="solid">
          <bgColor rgb="FFFFF7E6"/>
        </patternFill>
      </fill>
    </dxf>
    <dxf>
      <font>
        <b/>
        <color rgb="FF9A6700"/>
      </font>
      <fill>
        <patternFill patternType="solid">
          <bgColor rgb="FFFFF7E6"/>
        </patternFill>
      </fill>
    </dxf>
    <dxf>
      <font>
        <b/>
        <color rgb="FF0E6B4F"/>
      </font>
      <fill>
        <patternFill patternType="solid">
          <bgColor rgb="FFEEF8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odele-vgp.fr/modeles/registre-securite-vgp/" TargetMode="External"/><Relationship Id="rId2" Type="http://schemas.openxmlformats.org/officeDocument/2006/relationships/hyperlink" Target="https://modele-vgp.fr/logiciels-vgp/?utm_source=excel&amp;utm_medium=modele&amp;utm_campaign=registre" TargetMode="External"/><Relationship Id="rId3" Type="http://schemas.openxmlformats.org/officeDocument/2006/relationships/hyperlink" Target="https://modele-vgp.fr/devis/?source=excel-regist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4" customWidth="1"/>
    <col min="4" max="4" width="26" customWidth="1"/>
    <col min="5" max="5" width="18" customWidth="1"/>
    <col min="6" max="6" width="26" customWidth="1"/>
    <col min="7" max="7" width="12" customWidth="1"/>
    <col min="8" max="9" width="14" customWidth="1"/>
    <col min="10" max="11" width="12" customWidth="1"/>
    <col min="12" max="12" width="34" customWidth="1"/>
    <col min="13" max="13" width="30" customWidth="1"/>
    <col min="14" max="15" width="22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" x14ac:dyDescent="0.25">
      <c r="A3" s="3">
        <f>"Situation au "&amp;TEXT(TODAY(),"dd/mm/yyyy")</f>
      </c>
    </row>
    <row r="4" ht="32" customHeight="1" spans="1:1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x14ac:dyDescent="0.25">
      <c r="A5" s="5">
        <v>1</v>
      </c>
      <c r="B5" s="6"/>
      <c r="C5" s="5"/>
      <c r="D5" s="5"/>
      <c r="E5" s="5"/>
      <c r="F5" s="5"/>
      <c r="G5" s="5"/>
      <c r="H5" s="5"/>
      <c r="I5" s="6"/>
      <c r="J5" s="5"/>
      <c r="K5" s="5"/>
      <c r="L5" s="7"/>
      <c r="M5" s="7"/>
      <c r="N5" s="5"/>
      <c r="O5" s="8">
        <f>IF(B5="","",IF(AND(G5="Externe",J5&lt;&gt;"Oui"),"Annexer le rapport",IF(AND(K5="Oui",M5=""),"Suites à décider","Complet")))</f>
      </c>
    </row>
    <row r="6" spans="1:15" x14ac:dyDescent="0.25">
      <c r="A6" s="5">
        <v>2</v>
      </c>
      <c r="B6" s="6"/>
      <c r="C6" s="5"/>
      <c r="D6" s="5"/>
      <c r="E6" s="5"/>
      <c r="F6" s="5"/>
      <c r="G6" s="5"/>
      <c r="H6" s="5"/>
      <c r="I6" s="6"/>
      <c r="J6" s="5"/>
      <c r="K6" s="5"/>
      <c r="L6" s="7"/>
      <c r="M6" s="7"/>
      <c r="N6" s="5"/>
      <c r="O6" s="8">
        <f>IF(B6="","",IF(AND(G6="Externe",J6&lt;&gt;"Oui"),"Annexer le rapport",IF(AND(K6="Oui",M6=""),"Suites à décider","Complet")))</f>
      </c>
    </row>
    <row r="7" spans="1:15" x14ac:dyDescent="0.25">
      <c r="A7" s="5">
        <v>3</v>
      </c>
      <c r="B7" s="6"/>
      <c r="C7" s="5"/>
      <c r="D7" s="5"/>
      <c r="E7" s="5"/>
      <c r="F7" s="5"/>
      <c r="G7" s="5"/>
      <c r="H7" s="5"/>
      <c r="I7" s="6"/>
      <c r="J7" s="5"/>
      <c r="K7" s="5"/>
      <c r="L7" s="7"/>
      <c r="M7" s="7"/>
      <c r="N7" s="5"/>
      <c r="O7" s="8">
        <f>IF(B7="","",IF(AND(G7="Externe",J7&lt;&gt;"Oui"),"Annexer le rapport",IF(AND(K7="Oui",M7=""),"Suites à décider","Complet")))</f>
      </c>
    </row>
    <row r="8" spans="1:15" x14ac:dyDescent="0.25">
      <c r="A8" s="5">
        <v>4</v>
      </c>
      <c r="B8" s="6"/>
      <c r="C8" s="5"/>
      <c r="D8" s="5"/>
      <c r="E8" s="5"/>
      <c r="F8" s="5"/>
      <c r="G8" s="5"/>
      <c r="H8" s="5"/>
      <c r="I8" s="6"/>
      <c r="J8" s="5"/>
      <c r="K8" s="5"/>
      <c r="L8" s="7"/>
      <c r="M8" s="7"/>
      <c r="N8" s="5"/>
      <c r="O8" s="8">
        <f>IF(B8="","",IF(AND(G8="Externe",J8&lt;&gt;"Oui"),"Annexer le rapport",IF(AND(K8="Oui",M8=""),"Suites à décider","Complet")))</f>
      </c>
    </row>
    <row r="9" spans="1:15" x14ac:dyDescent="0.25">
      <c r="A9" s="5">
        <v>5</v>
      </c>
      <c r="B9" s="6"/>
      <c r="C9" s="5"/>
      <c r="D9" s="5"/>
      <c r="E9" s="5"/>
      <c r="F9" s="5"/>
      <c r="G9" s="5"/>
      <c r="H9" s="5"/>
      <c r="I9" s="6"/>
      <c r="J9" s="5"/>
      <c r="K9" s="5"/>
      <c r="L9" s="7"/>
      <c r="M9" s="7"/>
      <c r="N9" s="5"/>
      <c r="O9" s="8">
        <f>IF(B9="","",IF(AND(G9="Externe",J9&lt;&gt;"Oui"),"Annexer le rapport",IF(AND(K9="Oui",M9=""),"Suites à décider","Complet")))</f>
      </c>
    </row>
    <row r="10" spans="1:15" x14ac:dyDescent="0.25">
      <c r="A10" s="5">
        <v>6</v>
      </c>
      <c r="B10" s="6"/>
      <c r="C10" s="5"/>
      <c r="D10" s="5"/>
      <c r="E10" s="5"/>
      <c r="F10" s="5"/>
      <c r="G10" s="5"/>
      <c r="H10" s="5"/>
      <c r="I10" s="6"/>
      <c r="J10" s="5"/>
      <c r="K10" s="5"/>
      <c r="L10" s="7"/>
      <c r="M10" s="7"/>
      <c r="N10" s="5"/>
      <c r="O10" s="8">
        <f>IF(B10="","",IF(AND(G10="Externe",J10&lt;&gt;"Oui"),"Annexer le rapport",IF(AND(K10="Oui",M10=""),"Suites à décider","Complet")))</f>
      </c>
    </row>
    <row r="11" spans="1:15" x14ac:dyDescent="0.25">
      <c r="A11" s="5">
        <v>7</v>
      </c>
      <c r="B11" s="6"/>
      <c r="C11" s="5"/>
      <c r="D11" s="5"/>
      <c r="E11" s="5"/>
      <c r="F11" s="5"/>
      <c r="G11" s="5"/>
      <c r="H11" s="5"/>
      <c r="I11" s="6"/>
      <c r="J11" s="5"/>
      <c r="K11" s="5"/>
      <c r="L11" s="7"/>
      <c r="M11" s="7"/>
      <c r="N11" s="5"/>
      <c r="O11" s="8">
        <f>IF(B11="","",IF(AND(G11="Externe",J11&lt;&gt;"Oui"),"Annexer le rapport",IF(AND(K11="Oui",M11=""),"Suites à décider","Complet")))</f>
      </c>
    </row>
    <row r="12" spans="1:15" x14ac:dyDescent="0.25">
      <c r="A12" s="5">
        <v>8</v>
      </c>
      <c r="B12" s="6"/>
      <c r="C12" s="5"/>
      <c r="D12" s="5"/>
      <c r="E12" s="5"/>
      <c r="F12" s="5"/>
      <c r="G12" s="5"/>
      <c r="H12" s="5"/>
      <c r="I12" s="6"/>
      <c r="J12" s="5"/>
      <c r="K12" s="5"/>
      <c r="L12" s="7"/>
      <c r="M12" s="7"/>
      <c r="N12" s="5"/>
      <c r="O12" s="8">
        <f>IF(B12="","",IF(AND(G12="Externe",J12&lt;&gt;"Oui"),"Annexer le rapport",IF(AND(K12="Oui",M12=""),"Suites à décider","Complet")))</f>
      </c>
    </row>
    <row r="13" spans="1:15" x14ac:dyDescent="0.25">
      <c r="A13" s="5">
        <v>9</v>
      </c>
      <c r="B13" s="6"/>
      <c r="C13" s="5"/>
      <c r="D13" s="5"/>
      <c r="E13" s="5"/>
      <c r="F13" s="5"/>
      <c r="G13" s="5"/>
      <c r="H13" s="5"/>
      <c r="I13" s="6"/>
      <c r="J13" s="5"/>
      <c r="K13" s="5"/>
      <c r="L13" s="7"/>
      <c r="M13" s="7"/>
      <c r="N13" s="5"/>
      <c r="O13" s="8">
        <f>IF(B13="","",IF(AND(G13="Externe",J13&lt;&gt;"Oui"),"Annexer le rapport",IF(AND(K13="Oui",M13=""),"Suites à décider","Complet")))</f>
      </c>
    </row>
    <row r="14" spans="1:15" x14ac:dyDescent="0.25">
      <c r="A14" s="5">
        <v>10</v>
      </c>
      <c r="B14" s="6"/>
      <c r="C14" s="5"/>
      <c r="D14" s="5"/>
      <c r="E14" s="5"/>
      <c r="F14" s="5"/>
      <c r="G14" s="5"/>
      <c r="H14" s="5"/>
      <c r="I14" s="6"/>
      <c r="J14" s="5"/>
      <c r="K14" s="5"/>
      <c r="L14" s="7"/>
      <c r="M14" s="7"/>
      <c r="N14" s="5"/>
      <c r="O14" s="8">
        <f>IF(B14="","",IF(AND(G14="Externe",J14&lt;&gt;"Oui"),"Annexer le rapport",IF(AND(K14="Oui",M14=""),"Suites à décider","Complet")))</f>
      </c>
    </row>
    <row r="15" spans="1:15" x14ac:dyDescent="0.25">
      <c r="A15" s="5">
        <v>11</v>
      </c>
      <c r="B15" s="6"/>
      <c r="C15" s="5"/>
      <c r="D15" s="5"/>
      <c r="E15" s="5"/>
      <c r="F15" s="5"/>
      <c r="G15" s="5"/>
      <c r="H15" s="5"/>
      <c r="I15" s="6"/>
      <c r="J15" s="5"/>
      <c r="K15" s="5"/>
      <c r="L15" s="7"/>
      <c r="M15" s="7"/>
      <c r="N15" s="5"/>
      <c r="O15" s="8">
        <f>IF(B15="","",IF(AND(G15="Externe",J15&lt;&gt;"Oui"),"Annexer le rapport",IF(AND(K15="Oui",M15=""),"Suites à décider","Complet")))</f>
      </c>
    </row>
    <row r="16" spans="1:15" x14ac:dyDescent="0.25">
      <c r="A16" s="5">
        <v>12</v>
      </c>
      <c r="B16" s="6"/>
      <c r="C16" s="5"/>
      <c r="D16" s="5"/>
      <c r="E16" s="5"/>
      <c r="F16" s="5"/>
      <c r="G16" s="5"/>
      <c r="H16" s="5"/>
      <c r="I16" s="6"/>
      <c r="J16" s="5"/>
      <c r="K16" s="5"/>
      <c r="L16" s="7"/>
      <c r="M16" s="7"/>
      <c r="N16" s="5"/>
      <c r="O16" s="8">
        <f>IF(B16="","",IF(AND(G16="Externe",J16&lt;&gt;"Oui"),"Annexer le rapport",IF(AND(K16="Oui",M16=""),"Suites à décider","Complet")))</f>
      </c>
    </row>
    <row r="17" spans="1:15" x14ac:dyDescent="0.25">
      <c r="A17" s="5">
        <v>13</v>
      </c>
      <c r="B17" s="6"/>
      <c r="C17" s="5"/>
      <c r="D17" s="5"/>
      <c r="E17" s="5"/>
      <c r="F17" s="5"/>
      <c r="G17" s="5"/>
      <c r="H17" s="5"/>
      <c r="I17" s="6"/>
      <c r="J17" s="5"/>
      <c r="K17" s="5"/>
      <c r="L17" s="7"/>
      <c r="M17" s="7"/>
      <c r="N17" s="5"/>
      <c r="O17" s="8">
        <f>IF(B17="","",IF(AND(G17="Externe",J17&lt;&gt;"Oui"),"Annexer le rapport",IF(AND(K17="Oui",M17=""),"Suites à décider","Complet")))</f>
      </c>
    </row>
    <row r="18" spans="1:15" x14ac:dyDescent="0.25">
      <c r="A18" s="5">
        <v>14</v>
      </c>
      <c r="B18" s="6"/>
      <c r="C18" s="5"/>
      <c r="D18" s="5"/>
      <c r="E18" s="5"/>
      <c r="F18" s="5"/>
      <c r="G18" s="5"/>
      <c r="H18" s="5"/>
      <c r="I18" s="6"/>
      <c r="J18" s="5"/>
      <c r="K18" s="5"/>
      <c r="L18" s="7"/>
      <c r="M18" s="7"/>
      <c r="N18" s="5"/>
      <c r="O18" s="8">
        <f>IF(B18="","",IF(AND(G18="Externe",J18&lt;&gt;"Oui"),"Annexer le rapport",IF(AND(K18="Oui",M18=""),"Suites à décider","Complet")))</f>
      </c>
    </row>
    <row r="19" spans="1:15" x14ac:dyDescent="0.25">
      <c r="A19" s="5">
        <v>15</v>
      </c>
      <c r="B19" s="6"/>
      <c r="C19" s="5"/>
      <c r="D19" s="5"/>
      <c r="E19" s="5"/>
      <c r="F19" s="5"/>
      <c r="G19" s="5"/>
      <c r="H19" s="5"/>
      <c r="I19" s="6"/>
      <c r="J19" s="5"/>
      <c r="K19" s="5"/>
      <c r="L19" s="7"/>
      <c r="M19" s="7"/>
      <c r="N19" s="5"/>
      <c r="O19" s="8">
        <f>IF(B19="","",IF(AND(G19="Externe",J19&lt;&gt;"Oui"),"Annexer le rapport",IF(AND(K19="Oui",M19=""),"Suites à décider","Complet")))</f>
      </c>
    </row>
    <row r="20" spans="1:15" x14ac:dyDescent="0.25">
      <c r="A20" s="5">
        <v>16</v>
      </c>
      <c r="B20" s="6"/>
      <c r="C20" s="5"/>
      <c r="D20" s="5"/>
      <c r="E20" s="5"/>
      <c r="F20" s="5"/>
      <c r="G20" s="5"/>
      <c r="H20" s="5"/>
      <c r="I20" s="6"/>
      <c r="J20" s="5"/>
      <c r="K20" s="5"/>
      <c r="L20" s="7"/>
      <c r="M20" s="7"/>
      <c r="N20" s="5"/>
      <c r="O20" s="8">
        <f>IF(B20="","",IF(AND(G20="Externe",J20&lt;&gt;"Oui"),"Annexer le rapport",IF(AND(K20="Oui",M20=""),"Suites à décider","Complet")))</f>
      </c>
    </row>
    <row r="21" spans="1:15" x14ac:dyDescent="0.25">
      <c r="A21" s="5">
        <v>17</v>
      </c>
      <c r="B21" s="6"/>
      <c r="C21" s="5"/>
      <c r="D21" s="5"/>
      <c r="E21" s="5"/>
      <c r="F21" s="5"/>
      <c r="G21" s="5"/>
      <c r="H21" s="5"/>
      <c r="I21" s="6"/>
      <c r="J21" s="5"/>
      <c r="K21" s="5"/>
      <c r="L21" s="7"/>
      <c r="M21" s="7"/>
      <c r="N21" s="5"/>
      <c r="O21" s="8">
        <f>IF(B21="","",IF(AND(G21="Externe",J21&lt;&gt;"Oui"),"Annexer le rapport",IF(AND(K21="Oui",M21=""),"Suites à décider","Complet")))</f>
      </c>
    </row>
    <row r="22" spans="1:15" x14ac:dyDescent="0.25">
      <c r="A22" s="5">
        <v>18</v>
      </c>
      <c r="B22" s="6"/>
      <c r="C22" s="5"/>
      <c r="D22" s="5"/>
      <c r="E22" s="5"/>
      <c r="F22" s="5"/>
      <c r="G22" s="5"/>
      <c r="H22" s="5"/>
      <c r="I22" s="6"/>
      <c r="J22" s="5"/>
      <c r="K22" s="5"/>
      <c r="L22" s="7"/>
      <c r="M22" s="7"/>
      <c r="N22" s="5"/>
      <c r="O22" s="8">
        <f>IF(B22="","",IF(AND(G22="Externe",J22&lt;&gt;"Oui"),"Annexer le rapport",IF(AND(K22="Oui",M22=""),"Suites à décider","Complet")))</f>
      </c>
    </row>
    <row r="23" spans="1:15" x14ac:dyDescent="0.25">
      <c r="A23" s="5">
        <v>19</v>
      </c>
      <c r="B23" s="6"/>
      <c r="C23" s="5"/>
      <c r="D23" s="5"/>
      <c r="E23" s="5"/>
      <c r="F23" s="5"/>
      <c r="G23" s="5"/>
      <c r="H23" s="5"/>
      <c r="I23" s="6"/>
      <c r="J23" s="5"/>
      <c r="K23" s="5"/>
      <c r="L23" s="7"/>
      <c r="M23" s="7"/>
      <c r="N23" s="5"/>
      <c r="O23" s="8">
        <f>IF(B23="","",IF(AND(G23="Externe",J23&lt;&gt;"Oui"),"Annexer le rapport",IF(AND(K23="Oui",M23=""),"Suites à décider","Complet")))</f>
      </c>
    </row>
    <row r="24" spans="1:15" x14ac:dyDescent="0.25">
      <c r="A24" s="5">
        <v>20</v>
      </c>
      <c r="B24" s="6"/>
      <c r="C24" s="5"/>
      <c r="D24" s="5"/>
      <c r="E24" s="5"/>
      <c r="F24" s="5"/>
      <c r="G24" s="5"/>
      <c r="H24" s="5"/>
      <c r="I24" s="6"/>
      <c r="J24" s="5"/>
      <c r="K24" s="5"/>
      <c r="L24" s="7"/>
      <c r="M24" s="7"/>
      <c r="N24" s="5"/>
      <c r="O24" s="8">
        <f>IF(B24="","",IF(AND(G24="Externe",J24&lt;&gt;"Oui"),"Annexer le rapport",IF(AND(K24="Oui",M24=""),"Suites à décider","Complet")))</f>
      </c>
    </row>
    <row r="25" spans="1:15" x14ac:dyDescent="0.25">
      <c r="A25" s="5">
        <v>21</v>
      </c>
      <c r="B25" s="6"/>
      <c r="C25" s="5"/>
      <c r="D25" s="5"/>
      <c r="E25" s="5"/>
      <c r="F25" s="5"/>
      <c r="G25" s="5"/>
      <c r="H25" s="5"/>
      <c r="I25" s="6"/>
      <c r="J25" s="5"/>
      <c r="K25" s="5"/>
      <c r="L25" s="7"/>
      <c r="M25" s="7"/>
      <c r="N25" s="5"/>
      <c r="O25" s="8">
        <f>IF(B25="","",IF(AND(G25="Externe",J25&lt;&gt;"Oui"),"Annexer le rapport",IF(AND(K25="Oui",M25=""),"Suites à décider","Complet")))</f>
      </c>
    </row>
    <row r="26" spans="1:15" x14ac:dyDescent="0.25">
      <c r="A26" s="5">
        <v>22</v>
      </c>
      <c r="B26" s="6"/>
      <c r="C26" s="5"/>
      <c r="D26" s="5"/>
      <c r="E26" s="5"/>
      <c r="F26" s="5"/>
      <c r="G26" s="5"/>
      <c r="H26" s="5"/>
      <c r="I26" s="6"/>
      <c r="J26" s="5"/>
      <c r="K26" s="5"/>
      <c r="L26" s="7"/>
      <c r="M26" s="7"/>
      <c r="N26" s="5"/>
      <c r="O26" s="8">
        <f>IF(B26="","",IF(AND(G26="Externe",J26&lt;&gt;"Oui"),"Annexer le rapport",IF(AND(K26="Oui",M26=""),"Suites à décider","Complet")))</f>
      </c>
    </row>
    <row r="27" spans="1:15" x14ac:dyDescent="0.25">
      <c r="A27" s="5">
        <v>23</v>
      </c>
      <c r="B27" s="6"/>
      <c r="C27" s="5"/>
      <c r="D27" s="5"/>
      <c r="E27" s="5"/>
      <c r="F27" s="5"/>
      <c r="G27" s="5"/>
      <c r="H27" s="5"/>
      <c r="I27" s="6"/>
      <c r="J27" s="5"/>
      <c r="K27" s="5"/>
      <c r="L27" s="7"/>
      <c r="M27" s="7"/>
      <c r="N27" s="5"/>
      <c r="O27" s="8">
        <f>IF(B27="","",IF(AND(G27="Externe",J27&lt;&gt;"Oui"),"Annexer le rapport",IF(AND(K27="Oui",M27=""),"Suites à décider","Complet")))</f>
      </c>
    </row>
    <row r="28" spans="1:15" x14ac:dyDescent="0.25">
      <c r="A28" s="5">
        <v>24</v>
      </c>
      <c r="B28" s="6"/>
      <c r="C28" s="5"/>
      <c r="D28" s="5"/>
      <c r="E28" s="5"/>
      <c r="F28" s="5"/>
      <c r="G28" s="5"/>
      <c r="H28" s="5"/>
      <c r="I28" s="6"/>
      <c r="J28" s="5"/>
      <c r="K28" s="5"/>
      <c r="L28" s="7"/>
      <c r="M28" s="7"/>
      <c r="N28" s="5"/>
      <c r="O28" s="8">
        <f>IF(B28="","",IF(AND(G28="Externe",J28&lt;&gt;"Oui"),"Annexer le rapport",IF(AND(K28="Oui",M28=""),"Suites à décider","Complet")))</f>
      </c>
    </row>
    <row r="29" spans="1:15" x14ac:dyDescent="0.25">
      <c r="A29" s="5">
        <v>25</v>
      </c>
      <c r="B29" s="6"/>
      <c r="C29" s="5"/>
      <c r="D29" s="5"/>
      <c r="E29" s="5"/>
      <c r="F29" s="5"/>
      <c r="G29" s="5"/>
      <c r="H29" s="5"/>
      <c r="I29" s="6"/>
      <c r="J29" s="5"/>
      <c r="K29" s="5"/>
      <c r="L29" s="7"/>
      <c r="M29" s="7"/>
      <c r="N29" s="5"/>
      <c r="O29" s="8">
        <f>IF(B29="","",IF(AND(G29="Externe",J29&lt;&gt;"Oui"),"Annexer le rapport",IF(AND(K29="Oui",M29=""),"Suites à décider","Complet")))</f>
      </c>
    </row>
    <row r="30" spans="1:15" x14ac:dyDescent="0.25">
      <c r="A30" s="5">
        <v>26</v>
      </c>
      <c r="B30" s="6"/>
      <c r="C30" s="5"/>
      <c r="D30" s="5"/>
      <c r="E30" s="5"/>
      <c r="F30" s="5"/>
      <c r="G30" s="5"/>
      <c r="H30" s="5"/>
      <c r="I30" s="6"/>
      <c r="J30" s="5"/>
      <c r="K30" s="5"/>
      <c r="L30" s="7"/>
      <c r="M30" s="7"/>
      <c r="N30" s="5"/>
      <c r="O30" s="8">
        <f>IF(B30="","",IF(AND(G30="Externe",J30&lt;&gt;"Oui"),"Annexer le rapport",IF(AND(K30="Oui",M30=""),"Suites à décider","Complet")))</f>
      </c>
    </row>
    <row r="31" spans="1:15" x14ac:dyDescent="0.25">
      <c r="A31" s="5">
        <v>27</v>
      </c>
      <c r="B31" s="6"/>
      <c r="C31" s="5"/>
      <c r="D31" s="5"/>
      <c r="E31" s="5"/>
      <c r="F31" s="5"/>
      <c r="G31" s="5"/>
      <c r="H31" s="5"/>
      <c r="I31" s="6"/>
      <c r="J31" s="5"/>
      <c r="K31" s="5"/>
      <c r="L31" s="7"/>
      <c r="M31" s="7"/>
      <c r="N31" s="5"/>
      <c r="O31" s="8">
        <f>IF(B31="","",IF(AND(G31="Externe",J31&lt;&gt;"Oui"),"Annexer le rapport",IF(AND(K31="Oui",M31=""),"Suites à décider","Complet")))</f>
      </c>
    </row>
    <row r="32" spans="1:15" x14ac:dyDescent="0.25">
      <c r="A32" s="5">
        <v>28</v>
      </c>
      <c r="B32" s="6"/>
      <c r="C32" s="5"/>
      <c r="D32" s="5"/>
      <c r="E32" s="5"/>
      <c r="F32" s="5"/>
      <c r="G32" s="5"/>
      <c r="H32" s="5"/>
      <c r="I32" s="6"/>
      <c r="J32" s="5"/>
      <c r="K32" s="5"/>
      <c r="L32" s="7"/>
      <c r="M32" s="7"/>
      <c r="N32" s="5"/>
      <c r="O32" s="8">
        <f>IF(B32="","",IF(AND(G32="Externe",J32&lt;&gt;"Oui"),"Annexer le rapport",IF(AND(K32="Oui",M32=""),"Suites à décider","Complet")))</f>
      </c>
    </row>
    <row r="33" spans="1:15" x14ac:dyDescent="0.25">
      <c r="A33" s="5">
        <v>29</v>
      </c>
      <c r="B33" s="6"/>
      <c r="C33" s="5"/>
      <c r="D33" s="5"/>
      <c r="E33" s="5"/>
      <c r="F33" s="5"/>
      <c r="G33" s="5"/>
      <c r="H33" s="5"/>
      <c r="I33" s="6"/>
      <c r="J33" s="5"/>
      <c r="K33" s="5"/>
      <c r="L33" s="7"/>
      <c r="M33" s="7"/>
      <c r="N33" s="5"/>
      <c r="O33" s="8">
        <f>IF(B33="","",IF(AND(G33="Externe",J33&lt;&gt;"Oui"),"Annexer le rapport",IF(AND(K33="Oui",M33=""),"Suites à décider","Complet")))</f>
      </c>
    </row>
    <row r="34" spans="1:15" x14ac:dyDescent="0.25">
      <c r="A34" s="5">
        <v>30</v>
      </c>
      <c r="B34" s="6"/>
      <c r="C34" s="5"/>
      <c r="D34" s="5"/>
      <c r="E34" s="5"/>
      <c r="F34" s="5"/>
      <c r="G34" s="5"/>
      <c r="H34" s="5"/>
      <c r="I34" s="6"/>
      <c r="J34" s="5"/>
      <c r="K34" s="5"/>
      <c r="L34" s="7"/>
      <c r="M34" s="7"/>
      <c r="N34" s="5"/>
      <c r="O34" s="8">
        <f>IF(B34="","",IF(AND(G34="Externe",J34&lt;&gt;"Oui"),"Annexer le rapport",IF(AND(K34="Oui",M34=""),"Suites à décider","Complet")))</f>
      </c>
    </row>
    <row r="35" spans="1:15" x14ac:dyDescent="0.25">
      <c r="A35" s="5">
        <v>31</v>
      </c>
      <c r="B35" s="6"/>
      <c r="C35" s="5"/>
      <c r="D35" s="5"/>
      <c r="E35" s="5"/>
      <c r="F35" s="5"/>
      <c r="G35" s="5"/>
      <c r="H35" s="5"/>
      <c r="I35" s="6"/>
      <c r="J35" s="5"/>
      <c r="K35" s="5"/>
      <c r="L35" s="7"/>
      <c r="M35" s="7"/>
      <c r="N35" s="5"/>
      <c r="O35" s="8">
        <f>IF(B35="","",IF(AND(G35="Externe",J35&lt;&gt;"Oui"),"Annexer le rapport",IF(AND(K35="Oui",M35=""),"Suites à décider","Complet")))</f>
      </c>
    </row>
    <row r="36" spans="1:15" x14ac:dyDescent="0.25">
      <c r="A36" s="5">
        <v>32</v>
      </c>
      <c r="B36" s="6"/>
      <c r="C36" s="5"/>
      <c r="D36" s="5"/>
      <c r="E36" s="5"/>
      <c r="F36" s="5"/>
      <c r="G36" s="5"/>
      <c r="H36" s="5"/>
      <c r="I36" s="6"/>
      <c r="J36" s="5"/>
      <c r="K36" s="5"/>
      <c r="L36" s="7"/>
      <c r="M36" s="7"/>
      <c r="N36" s="5"/>
      <c r="O36" s="8">
        <f>IF(B36="","",IF(AND(G36="Externe",J36&lt;&gt;"Oui"),"Annexer le rapport",IF(AND(K36="Oui",M36=""),"Suites à décider","Complet")))</f>
      </c>
    </row>
    <row r="37" spans="1:15" x14ac:dyDescent="0.25">
      <c r="A37" s="5">
        <v>33</v>
      </c>
      <c r="B37" s="6"/>
      <c r="C37" s="5"/>
      <c r="D37" s="5"/>
      <c r="E37" s="5"/>
      <c r="F37" s="5"/>
      <c r="G37" s="5"/>
      <c r="H37" s="5"/>
      <c r="I37" s="6"/>
      <c r="J37" s="5"/>
      <c r="K37" s="5"/>
      <c r="L37" s="7"/>
      <c r="M37" s="7"/>
      <c r="N37" s="5"/>
      <c r="O37" s="8">
        <f>IF(B37="","",IF(AND(G37="Externe",J37&lt;&gt;"Oui"),"Annexer le rapport",IF(AND(K37="Oui",M37=""),"Suites à décider","Complet")))</f>
      </c>
    </row>
    <row r="38" spans="1:15" x14ac:dyDescent="0.25">
      <c r="A38" s="5">
        <v>34</v>
      </c>
      <c r="B38" s="6"/>
      <c r="C38" s="5"/>
      <c r="D38" s="5"/>
      <c r="E38" s="5"/>
      <c r="F38" s="5"/>
      <c r="G38" s="5"/>
      <c r="H38" s="5"/>
      <c r="I38" s="6"/>
      <c r="J38" s="5"/>
      <c r="K38" s="5"/>
      <c r="L38" s="7"/>
      <c r="M38" s="7"/>
      <c r="N38" s="5"/>
      <c r="O38" s="8">
        <f>IF(B38="","",IF(AND(G38="Externe",J38&lt;&gt;"Oui"),"Annexer le rapport",IF(AND(K38="Oui",M38=""),"Suites à décider","Complet")))</f>
      </c>
    </row>
    <row r="39" spans="1:15" x14ac:dyDescent="0.25">
      <c r="A39" s="5">
        <v>35</v>
      </c>
      <c r="B39" s="6"/>
      <c r="C39" s="5"/>
      <c r="D39" s="5"/>
      <c r="E39" s="5"/>
      <c r="F39" s="5"/>
      <c r="G39" s="5"/>
      <c r="H39" s="5"/>
      <c r="I39" s="6"/>
      <c r="J39" s="5"/>
      <c r="K39" s="5"/>
      <c r="L39" s="7"/>
      <c r="M39" s="7"/>
      <c r="N39" s="5"/>
      <c r="O39" s="8">
        <f>IF(B39="","",IF(AND(G39="Externe",J39&lt;&gt;"Oui"),"Annexer le rapport",IF(AND(K39="Oui",M39=""),"Suites à décider","Complet")))</f>
      </c>
    </row>
    <row r="40" spans="1:15" x14ac:dyDescent="0.25">
      <c r="A40" s="5">
        <v>36</v>
      </c>
      <c r="B40" s="6"/>
      <c r="C40" s="5"/>
      <c r="D40" s="5"/>
      <c r="E40" s="5"/>
      <c r="F40" s="5"/>
      <c r="G40" s="5"/>
      <c r="H40" s="5"/>
      <c r="I40" s="6"/>
      <c r="J40" s="5"/>
      <c r="K40" s="5"/>
      <c r="L40" s="7"/>
      <c r="M40" s="7"/>
      <c r="N40" s="5"/>
      <c r="O40" s="8">
        <f>IF(B40="","",IF(AND(G40="Externe",J40&lt;&gt;"Oui"),"Annexer le rapport",IF(AND(K40="Oui",M40=""),"Suites à décider","Complet")))</f>
      </c>
    </row>
    <row r="41" spans="1:15" x14ac:dyDescent="0.25">
      <c r="A41" s="5">
        <v>37</v>
      </c>
      <c r="B41" s="6"/>
      <c r="C41" s="5"/>
      <c r="D41" s="5"/>
      <c r="E41" s="5"/>
      <c r="F41" s="5"/>
      <c r="G41" s="5"/>
      <c r="H41" s="5"/>
      <c r="I41" s="6"/>
      <c r="J41" s="5"/>
      <c r="K41" s="5"/>
      <c r="L41" s="7"/>
      <c r="M41" s="7"/>
      <c r="N41" s="5"/>
      <c r="O41" s="8">
        <f>IF(B41="","",IF(AND(G41="Externe",J41&lt;&gt;"Oui"),"Annexer le rapport",IF(AND(K41="Oui",M41=""),"Suites à décider","Complet")))</f>
      </c>
    </row>
    <row r="42" spans="1:15" x14ac:dyDescent="0.25">
      <c r="A42" s="5">
        <v>38</v>
      </c>
      <c r="B42" s="6"/>
      <c r="C42" s="5"/>
      <c r="D42" s="5"/>
      <c r="E42" s="5"/>
      <c r="F42" s="5"/>
      <c r="G42" s="5"/>
      <c r="H42" s="5"/>
      <c r="I42" s="6"/>
      <c r="J42" s="5"/>
      <c r="K42" s="5"/>
      <c r="L42" s="7"/>
      <c r="M42" s="7"/>
      <c r="N42" s="5"/>
      <c r="O42" s="8">
        <f>IF(B42="","",IF(AND(G42="Externe",J42&lt;&gt;"Oui"),"Annexer le rapport",IF(AND(K42="Oui",M42=""),"Suites à décider","Complet")))</f>
      </c>
    </row>
    <row r="43" spans="1:15" x14ac:dyDescent="0.25">
      <c r="A43" s="5">
        <v>39</v>
      </c>
      <c r="B43" s="6"/>
      <c r="C43" s="5"/>
      <c r="D43" s="5"/>
      <c r="E43" s="5"/>
      <c r="F43" s="5"/>
      <c r="G43" s="5"/>
      <c r="H43" s="5"/>
      <c r="I43" s="6"/>
      <c r="J43" s="5"/>
      <c r="K43" s="5"/>
      <c r="L43" s="7"/>
      <c r="M43" s="7"/>
      <c r="N43" s="5"/>
      <c r="O43" s="8">
        <f>IF(B43="","",IF(AND(G43="Externe",J43&lt;&gt;"Oui"),"Annexer le rapport",IF(AND(K43="Oui",M43=""),"Suites à décider","Complet")))</f>
      </c>
    </row>
    <row r="44" spans="1:15" x14ac:dyDescent="0.25">
      <c r="A44" s="5">
        <v>40</v>
      </c>
      <c r="B44" s="6"/>
      <c r="C44" s="5"/>
      <c r="D44" s="5"/>
      <c r="E44" s="5"/>
      <c r="F44" s="5"/>
      <c r="G44" s="5"/>
      <c r="H44" s="5"/>
      <c r="I44" s="6"/>
      <c r="J44" s="5"/>
      <c r="K44" s="5"/>
      <c r="L44" s="7"/>
      <c r="M44" s="7"/>
      <c r="N44" s="5"/>
      <c r="O44" s="8">
        <f>IF(B44="","",IF(AND(G44="Externe",J44&lt;&gt;"Oui"),"Annexer le rapport",IF(AND(K44="Oui",M44=""),"Suites à décider","Complet")))</f>
      </c>
    </row>
    <row r="45" spans="1:15" x14ac:dyDescent="0.25">
      <c r="A45" s="5">
        <v>41</v>
      </c>
      <c r="B45" s="6"/>
      <c r="C45" s="5"/>
      <c r="D45" s="5"/>
      <c r="E45" s="5"/>
      <c r="F45" s="5"/>
      <c r="G45" s="5"/>
      <c r="H45" s="5"/>
      <c r="I45" s="6"/>
      <c r="J45" s="5"/>
      <c r="K45" s="5"/>
      <c r="L45" s="7"/>
      <c r="M45" s="7"/>
      <c r="N45" s="5"/>
      <c r="O45" s="8">
        <f>IF(B45="","",IF(AND(G45="Externe",J45&lt;&gt;"Oui"),"Annexer le rapport",IF(AND(K45="Oui",M45=""),"Suites à décider","Complet")))</f>
      </c>
    </row>
    <row r="46" spans="1:15" x14ac:dyDescent="0.25">
      <c r="A46" s="5">
        <v>42</v>
      </c>
      <c r="B46" s="6"/>
      <c r="C46" s="5"/>
      <c r="D46" s="5"/>
      <c r="E46" s="5"/>
      <c r="F46" s="5"/>
      <c r="G46" s="5"/>
      <c r="H46" s="5"/>
      <c r="I46" s="6"/>
      <c r="J46" s="5"/>
      <c r="K46" s="5"/>
      <c r="L46" s="7"/>
      <c r="M46" s="7"/>
      <c r="N46" s="5"/>
      <c r="O46" s="8">
        <f>IF(B46="","",IF(AND(G46="Externe",J46&lt;&gt;"Oui"),"Annexer le rapport",IF(AND(K46="Oui",M46=""),"Suites à décider","Complet")))</f>
      </c>
    </row>
    <row r="47" spans="1:15" x14ac:dyDescent="0.25">
      <c r="A47" s="5">
        <v>43</v>
      </c>
      <c r="B47" s="6"/>
      <c r="C47" s="5"/>
      <c r="D47" s="5"/>
      <c r="E47" s="5"/>
      <c r="F47" s="5"/>
      <c r="G47" s="5"/>
      <c r="H47" s="5"/>
      <c r="I47" s="6"/>
      <c r="J47" s="5"/>
      <c r="K47" s="5"/>
      <c r="L47" s="7"/>
      <c r="M47" s="7"/>
      <c r="N47" s="5"/>
      <c r="O47" s="8">
        <f>IF(B47="","",IF(AND(G47="Externe",J47&lt;&gt;"Oui"),"Annexer le rapport",IF(AND(K47="Oui",M47=""),"Suites à décider","Complet")))</f>
      </c>
    </row>
    <row r="48" spans="1:15" x14ac:dyDescent="0.25">
      <c r="A48" s="5">
        <v>44</v>
      </c>
      <c r="B48" s="6"/>
      <c r="C48" s="5"/>
      <c r="D48" s="5"/>
      <c r="E48" s="5"/>
      <c r="F48" s="5"/>
      <c r="G48" s="5"/>
      <c r="H48" s="5"/>
      <c r="I48" s="6"/>
      <c r="J48" s="5"/>
      <c r="K48" s="5"/>
      <c r="L48" s="7"/>
      <c r="M48" s="7"/>
      <c r="N48" s="5"/>
      <c r="O48" s="8">
        <f>IF(B48="","",IF(AND(G48="Externe",J48&lt;&gt;"Oui"),"Annexer le rapport",IF(AND(K48="Oui",M48=""),"Suites à décider","Complet")))</f>
      </c>
    </row>
    <row r="49" spans="1:15" x14ac:dyDescent="0.25">
      <c r="A49" s="5">
        <v>45</v>
      </c>
      <c r="B49" s="6"/>
      <c r="C49" s="5"/>
      <c r="D49" s="5"/>
      <c r="E49" s="5"/>
      <c r="F49" s="5"/>
      <c r="G49" s="5"/>
      <c r="H49" s="5"/>
      <c r="I49" s="6"/>
      <c r="J49" s="5"/>
      <c r="K49" s="5"/>
      <c r="L49" s="7"/>
      <c r="M49" s="7"/>
      <c r="N49" s="5"/>
      <c r="O49" s="8">
        <f>IF(B49="","",IF(AND(G49="Externe",J49&lt;&gt;"Oui"),"Annexer le rapport",IF(AND(K49="Oui",M49=""),"Suites à décider","Complet")))</f>
      </c>
    </row>
    <row r="50" spans="1:15" x14ac:dyDescent="0.25">
      <c r="A50" s="5">
        <v>46</v>
      </c>
      <c r="B50" s="6"/>
      <c r="C50" s="5"/>
      <c r="D50" s="5"/>
      <c r="E50" s="5"/>
      <c r="F50" s="5"/>
      <c r="G50" s="5"/>
      <c r="H50" s="5"/>
      <c r="I50" s="6"/>
      <c r="J50" s="5"/>
      <c r="K50" s="5"/>
      <c r="L50" s="7"/>
      <c r="M50" s="7"/>
      <c r="N50" s="5"/>
      <c r="O50" s="8">
        <f>IF(B50="","",IF(AND(G50="Externe",J50&lt;&gt;"Oui"),"Annexer le rapport",IF(AND(K50="Oui",M50=""),"Suites à décider","Complet")))</f>
      </c>
    </row>
    <row r="51" spans="1:15" x14ac:dyDescent="0.25">
      <c r="A51" s="5">
        <v>47</v>
      </c>
      <c r="B51" s="6"/>
      <c r="C51" s="5"/>
      <c r="D51" s="5"/>
      <c r="E51" s="5"/>
      <c r="F51" s="5"/>
      <c r="G51" s="5"/>
      <c r="H51" s="5"/>
      <c r="I51" s="6"/>
      <c r="J51" s="5"/>
      <c r="K51" s="5"/>
      <c r="L51" s="7"/>
      <c r="M51" s="7"/>
      <c r="N51" s="5"/>
      <c r="O51" s="8">
        <f>IF(B51="","",IF(AND(G51="Externe",J51&lt;&gt;"Oui"),"Annexer le rapport",IF(AND(K51="Oui",M51=""),"Suites à décider","Complet")))</f>
      </c>
    </row>
    <row r="52" spans="1:15" x14ac:dyDescent="0.25">
      <c r="A52" s="5">
        <v>48</v>
      </c>
      <c r="B52" s="6"/>
      <c r="C52" s="5"/>
      <c r="D52" s="5"/>
      <c r="E52" s="5"/>
      <c r="F52" s="5"/>
      <c r="G52" s="5"/>
      <c r="H52" s="5"/>
      <c r="I52" s="6"/>
      <c r="J52" s="5"/>
      <c r="K52" s="5"/>
      <c r="L52" s="7"/>
      <c r="M52" s="7"/>
      <c r="N52" s="5"/>
      <c r="O52" s="8">
        <f>IF(B52="","",IF(AND(G52="Externe",J52&lt;&gt;"Oui"),"Annexer le rapport",IF(AND(K52="Oui",M52=""),"Suites à décider","Complet")))</f>
      </c>
    </row>
    <row r="53" spans="1:15" x14ac:dyDescent="0.25">
      <c r="A53" s="5">
        <v>49</v>
      </c>
      <c r="B53" s="6"/>
      <c r="C53" s="5"/>
      <c r="D53" s="5"/>
      <c r="E53" s="5"/>
      <c r="F53" s="5"/>
      <c r="G53" s="5"/>
      <c r="H53" s="5"/>
      <c r="I53" s="6"/>
      <c r="J53" s="5"/>
      <c r="K53" s="5"/>
      <c r="L53" s="7"/>
      <c r="M53" s="7"/>
      <c r="N53" s="5"/>
      <c r="O53" s="8">
        <f>IF(B53="","",IF(AND(G53="Externe",J53&lt;&gt;"Oui"),"Annexer le rapport",IF(AND(K53="Oui",M53=""),"Suites à décider","Complet")))</f>
      </c>
    </row>
    <row r="54" spans="1:15" x14ac:dyDescent="0.25">
      <c r="A54" s="5">
        <v>50</v>
      </c>
      <c r="B54" s="6"/>
      <c r="C54" s="5"/>
      <c r="D54" s="5"/>
      <c r="E54" s="5"/>
      <c r="F54" s="5"/>
      <c r="G54" s="5"/>
      <c r="H54" s="5"/>
      <c r="I54" s="6"/>
      <c r="J54" s="5"/>
      <c r="K54" s="5"/>
      <c r="L54" s="7"/>
      <c r="M54" s="7"/>
      <c r="N54" s="5"/>
      <c r="O54" s="8">
        <f>IF(B54="","",IF(AND(G54="Externe",J54&lt;&gt;"Oui"),"Annexer le rapport",IF(AND(K54="Oui",M54=""),"Suites à décider","Complet")))</f>
      </c>
    </row>
    <row r="55" spans="1:15" x14ac:dyDescent="0.25">
      <c r="A55" s="5">
        <v>51</v>
      </c>
      <c r="B55" s="6"/>
      <c r="C55" s="5"/>
      <c r="D55" s="5"/>
      <c r="E55" s="5"/>
      <c r="F55" s="5"/>
      <c r="G55" s="5"/>
      <c r="H55" s="5"/>
      <c r="I55" s="6"/>
      <c r="J55" s="5"/>
      <c r="K55" s="5"/>
      <c r="L55" s="7"/>
      <c r="M55" s="7"/>
      <c r="N55" s="5"/>
      <c r="O55" s="8">
        <f>IF(B55="","",IF(AND(G55="Externe",J55&lt;&gt;"Oui"),"Annexer le rapport",IF(AND(K55="Oui",M55=""),"Suites à décider","Complet")))</f>
      </c>
    </row>
    <row r="56" spans="1:15" x14ac:dyDescent="0.25">
      <c r="A56" s="5">
        <v>52</v>
      </c>
      <c r="B56" s="6"/>
      <c r="C56" s="5"/>
      <c r="D56" s="5"/>
      <c r="E56" s="5"/>
      <c r="F56" s="5"/>
      <c r="G56" s="5"/>
      <c r="H56" s="5"/>
      <c r="I56" s="6"/>
      <c r="J56" s="5"/>
      <c r="K56" s="5"/>
      <c r="L56" s="7"/>
      <c r="M56" s="7"/>
      <c r="N56" s="5"/>
      <c r="O56" s="8">
        <f>IF(B56="","",IF(AND(G56="Externe",J56&lt;&gt;"Oui"),"Annexer le rapport",IF(AND(K56="Oui",M56=""),"Suites à décider","Complet")))</f>
      </c>
    </row>
    <row r="57" spans="1:15" x14ac:dyDescent="0.25">
      <c r="A57" s="5">
        <v>53</v>
      </c>
      <c r="B57" s="6"/>
      <c r="C57" s="5"/>
      <c r="D57" s="5"/>
      <c r="E57" s="5"/>
      <c r="F57" s="5"/>
      <c r="G57" s="5"/>
      <c r="H57" s="5"/>
      <c r="I57" s="6"/>
      <c r="J57" s="5"/>
      <c r="K57" s="5"/>
      <c r="L57" s="7"/>
      <c r="M57" s="7"/>
      <c r="N57" s="5"/>
      <c r="O57" s="8">
        <f>IF(B57="","",IF(AND(G57="Externe",J57&lt;&gt;"Oui"),"Annexer le rapport",IF(AND(K57="Oui",M57=""),"Suites à décider","Complet")))</f>
      </c>
    </row>
    <row r="58" spans="1:15" x14ac:dyDescent="0.25">
      <c r="A58" s="5">
        <v>54</v>
      </c>
      <c r="B58" s="6"/>
      <c r="C58" s="5"/>
      <c r="D58" s="5"/>
      <c r="E58" s="5"/>
      <c r="F58" s="5"/>
      <c r="G58" s="5"/>
      <c r="H58" s="5"/>
      <c r="I58" s="6"/>
      <c r="J58" s="5"/>
      <c r="K58" s="5"/>
      <c r="L58" s="7"/>
      <c r="M58" s="7"/>
      <c r="N58" s="5"/>
      <c r="O58" s="8">
        <f>IF(B58="","",IF(AND(G58="Externe",J58&lt;&gt;"Oui"),"Annexer le rapport",IF(AND(K58="Oui",M58=""),"Suites à décider","Complet")))</f>
      </c>
    </row>
    <row r="59" spans="1:15" x14ac:dyDescent="0.25">
      <c r="A59" s="5">
        <v>55</v>
      </c>
      <c r="B59" s="6"/>
      <c r="C59" s="5"/>
      <c r="D59" s="5"/>
      <c r="E59" s="5"/>
      <c r="F59" s="5"/>
      <c r="G59" s="5"/>
      <c r="H59" s="5"/>
      <c r="I59" s="6"/>
      <c r="J59" s="5"/>
      <c r="K59" s="5"/>
      <c r="L59" s="7"/>
      <c r="M59" s="7"/>
      <c r="N59" s="5"/>
      <c r="O59" s="8">
        <f>IF(B59="","",IF(AND(G59="Externe",J59&lt;&gt;"Oui"),"Annexer le rapport",IF(AND(K59="Oui",M59=""),"Suites à décider","Complet")))</f>
      </c>
    </row>
    <row r="60" spans="1:15" x14ac:dyDescent="0.25">
      <c r="A60" s="5">
        <v>56</v>
      </c>
      <c r="B60" s="6"/>
      <c r="C60" s="5"/>
      <c r="D60" s="5"/>
      <c r="E60" s="5"/>
      <c r="F60" s="5"/>
      <c r="G60" s="5"/>
      <c r="H60" s="5"/>
      <c r="I60" s="6"/>
      <c r="J60" s="5"/>
      <c r="K60" s="5"/>
      <c r="L60" s="7"/>
      <c r="M60" s="7"/>
      <c r="N60" s="5"/>
      <c r="O60" s="8">
        <f>IF(B60="","",IF(AND(G60="Externe",J60&lt;&gt;"Oui"),"Annexer le rapport",IF(AND(K60="Oui",M60=""),"Suites à décider","Complet")))</f>
      </c>
    </row>
    <row r="61" spans="1:15" x14ac:dyDescent="0.25">
      <c r="A61" s="5">
        <v>57</v>
      </c>
      <c r="B61" s="6"/>
      <c r="C61" s="5"/>
      <c r="D61" s="5"/>
      <c r="E61" s="5"/>
      <c r="F61" s="5"/>
      <c r="G61" s="5"/>
      <c r="H61" s="5"/>
      <c r="I61" s="6"/>
      <c r="J61" s="5"/>
      <c r="K61" s="5"/>
      <c r="L61" s="7"/>
      <c r="M61" s="7"/>
      <c r="N61" s="5"/>
      <c r="O61" s="8">
        <f>IF(B61="","",IF(AND(G61="Externe",J61&lt;&gt;"Oui"),"Annexer le rapport",IF(AND(K61="Oui",M61=""),"Suites à décider","Complet")))</f>
      </c>
    </row>
    <row r="62" spans="1:15" x14ac:dyDescent="0.25">
      <c r="A62" s="5">
        <v>58</v>
      </c>
      <c r="B62" s="6"/>
      <c r="C62" s="5"/>
      <c r="D62" s="5"/>
      <c r="E62" s="5"/>
      <c r="F62" s="5"/>
      <c r="G62" s="5"/>
      <c r="H62" s="5"/>
      <c r="I62" s="6"/>
      <c r="J62" s="5"/>
      <c r="K62" s="5"/>
      <c r="L62" s="7"/>
      <c r="M62" s="7"/>
      <c r="N62" s="5"/>
      <c r="O62" s="8">
        <f>IF(B62="","",IF(AND(G62="Externe",J62&lt;&gt;"Oui"),"Annexer le rapport",IF(AND(K62="Oui",M62=""),"Suites à décider","Complet")))</f>
      </c>
    </row>
    <row r="63" spans="1:15" x14ac:dyDescent="0.25">
      <c r="A63" s="5">
        <v>59</v>
      </c>
      <c r="B63" s="6"/>
      <c r="C63" s="5"/>
      <c r="D63" s="5"/>
      <c r="E63" s="5"/>
      <c r="F63" s="5"/>
      <c r="G63" s="5"/>
      <c r="H63" s="5"/>
      <c r="I63" s="6"/>
      <c r="J63" s="5"/>
      <c r="K63" s="5"/>
      <c r="L63" s="7"/>
      <c r="M63" s="7"/>
      <c r="N63" s="5"/>
      <c r="O63" s="8">
        <f>IF(B63="","",IF(AND(G63="Externe",J63&lt;&gt;"Oui"),"Annexer le rapport",IF(AND(K63="Oui",M63=""),"Suites à décider","Complet")))</f>
      </c>
    </row>
    <row r="64" spans="1:15" x14ac:dyDescent="0.25">
      <c r="A64" s="5">
        <v>60</v>
      </c>
      <c r="B64" s="6"/>
      <c r="C64" s="5"/>
      <c r="D64" s="5"/>
      <c r="E64" s="5"/>
      <c r="F64" s="5"/>
      <c r="G64" s="5"/>
      <c r="H64" s="5"/>
      <c r="I64" s="6"/>
      <c r="J64" s="5"/>
      <c r="K64" s="5"/>
      <c r="L64" s="7"/>
      <c r="M64" s="7"/>
      <c r="N64" s="5"/>
      <c r="O64" s="8">
        <f>IF(B64="","",IF(AND(G64="Externe",J64&lt;&gt;"Oui"),"Annexer le rapport",IF(AND(K64="Oui",M64=""),"Suites à décider","Complet")))</f>
      </c>
    </row>
    <row r="65" spans="1:15" x14ac:dyDescent="0.25">
      <c r="A65" s="5">
        <v>61</v>
      </c>
      <c r="B65" s="6"/>
      <c r="C65" s="5"/>
      <c r="D65" s="5"/>
      <c r="E65" s="5"/>
      <c r="F65" s="5"/>
      <c r="G65" s="5"/>
      <c r="H65" s="5"/>
      <c r="I65" s="6"/>
      <c r="J65" s="5"/>
      <c r="K65" s="5"/>
      <c r="L65" s="7"/>
      <c r="M65" s="7"/>
      <c r="N65" s="5"/>
      <c r="O65" s="8">
        <f>IF(B65="","",IF(AND(G65="Externe",J65&lt;&gt;"Oui"),"Annexer le rapport",IF(AND(K65="Oui",M65=""),"Suites à décider","Complet")))</f>
      </c>
    </row>
    <row r="66" spans="1:15" x14ac:dyDescent="0.25">
      <c r="A66" s="5">
        <v>62</v>
      </c>
      <c r="B66" s="6"/>
      <c r="C66" s="5"/>
      <c r="D66" s="5"/>
      <c r="E66" s="5"/>
      <c r="F66" s="5"/>
      <c r="G66" s="5"/>
      <c r="H66" s="5"/>
      <c r="I66" s="6"/>
      <c r="J66" s="5"/>
      <c r="K66" s="5"/>
      <c r="L66" s="7"/>
      <c r="M66" s="7"/>
      <c r="N66" s="5"/>
      <c r="O66" s="8">
        <f>IF(B66="","",IF(AND(G66="Externe",J66&lt;&gt;"Oui"),"Annexer le rapport",IF(AND(K66="Oui",M66=""),"Suites à décider","Complet")))</f>
      </c>
    </row>
    <row r="67" spans="1:15" x14ac:dyDescent="0.25">
      <c r="A67" s="5">
        <v>63</v>
      </c>
      <c r="B67" s="6"/>
      <c r="C67" s="5"/>
      <c r="D67" s="5"/>
      <c r="E67" s="5"/>
      <c r="F67" s="5"/>
      <c r="G67" s="5"/>
      <c r="H67" s="5"/>
      <c r="I67" s="6"/>
      <c r="J67" s="5"/>
      <c r="K67" s="5"/>
      <c r="L67" s="7"/>
      <c r="M67" s="7"/>
      <c r="N67" s="5"/>
      <c r="O67" s="8">
        <f>IF(B67="","",IF(AND(G67="Externe",J67&lt;&gt;"Oui"),"Annexer le rapport",IF(AND(K67="Oui",M67=""),"Suites à décider","Complet")))</f>
      </c>
    </row>
    <row r="68" spans="1:15" x14ac:dyDescent="0.25">
      <c r="A68" s="5">
        <v>64</v>
      </c>
      <c r="B68" s="6"/>
      <c r="C68" s="5"/>
      <c r="D68" s="5"/>
      <c r="E68" s="5"/>
      <c r="F68" s="5"/>
      <c r="G68" s="5"/>
      <c r="H68" s="5"/>
      <c r="I68" s="6"/>
      <c r="J68" s="5"/>
      <c r="K68" s="5"/>
      <c r="L68" s="7"/>
      <c r="M68" s="7"/>
      <c r="N68" s="5"/>
      <c r="O68" s="8">
        <f>IF(B68="","",IF(AND(G68="Externe",J68&lt;&gt;"Oui"),"Annexer le rapport",IF(AND(K68="Oui",M68=""),"Suites à décider","Complet")))</f>
      </c>
    </row>
    <row r="69" spans="1:15" x14ac:dyDescent="0.25">
      <c r="A69" s="5">
        <v>65</v>
      </c>
      <c r="B69" s="6"/>
      <c r="C69" s="5"/>
      <c r="D69" s="5"/>
      <c r="E69" s="5"/>
      <c r="F69" s="5"/>
      <c r="G69" s="5"/>
      <c r="H69" s="5"/>
      <c r="I69" s="6"/>
      <c r="J69" s="5"/>
      <c r="K69" s="5"/>
      <c r="L69" s="7"/>
      <c r="M69" s="7"/>
      <c r="N69" s="5"/>
      <c r="O69" s="8">
        <f>IF(B69="","",IF(AND(G69="Externe",J69&lt;&gt;"Oui"),"Annexer le rapport",IF(AND(K69="Oui",M69=""),"Suites à décider","Complet")))</f>
      </c>
    </row>
    <row r="70" spans="1:15" x14ac:dyDescent="0.25">
      <c r="A70" s="5">
        <v>66</v>
      </c>
      <c r="B70" s="6"/>
      <c r="C70" s="5"/>
      <c r="D70" s="5"/>
      <c r="E70" s="5"/>
      <c r="F70" s="5"/>
      <c r="G70" s="5"/>
      <c r="H70" s="5"/>
      <c r="I70" s="6"/>
      <c r="J70" s="5"/>
      <c r="K70" s="5"/>
      <c r="L70" s="7"/>
      <c r="M70" s="7"/>
      <c r="N70" s="5"/>
      <c r="O70" s="8">
        <f>IF(B70="","",IF(AND(G70="Externe",J70&lt;&gt;"Oui"),"Annexer le rapport",IF(AND(K70="Oui",M70=""),"Suites à décider","Complet")))</f>
      </c>
    </row>
    <row r="71" spans="1:15" x14ac:dyDescent="0.25">
      <c r="A71" s="5">
        <v>67</v>
      </c>
      <c r="B71" s="6"/>
      <c r="C71" s="5"/>
      <c r="D71" s="5"/>
      <c r="E71" s="5"/>
      <c r="F71" s="5"/>
      <c r="G71" s="5"/>
      <c r="H71" s="5"/>
      <c r="I71" s="6"/>
      <c r="J71" s="5"/>
      <c r="K71" s="5"/>
      <c r="L71" s="7"/>
      <c r="M71" s="7"/>
      <c r="N71" s="5"/>
      <c r="O71" s="8">
        <f>IF(B71="","",IF(AND(G71="Externe",J71&lt;&gt;"Oui"),"Annexer le rapport",IF(AND(K71="Oui",M71=""),"Suites à décider","Complet")))</f>
      </c>
    </row>
    <row r="72" spans="1:15" x14ac:dyDescent="0.25">
      <c r="A72" s="5">
        <v>68</v>
      </c>
      <c r="B72" s="6"/>
      <c r="C72" s="5"/>
      <c r="D72" s="5"/>
      <c r="E72" s="5"/>
      <c r="F72" s="5"/>
      <c r="G72" s="5"/>
      <c r="H72" s="5"/>
      <c r="I72" s="6"/>
      <c r="J72" s="5"/>
      <c r="K72" s="5"/>
      <c r="L72" s="7"/>
      <c r="M72" s="7"/>
      <c r="N72" s="5"/>
      <c r="O72" s="8">
        <f>IF(B72="","",IF(AND(G72="Externe",J72&lt;&gt;"Oui"),"Annexer le rapport",IF(AND(K72="Oui",M72=""),"Suites à décider","Complet")))</f>
      </c>
    </row>
    <row r="73" spans="1:15" x14ac:dyDescent="0.25">
      <c r="A73" s="5">
        <v>69</v>
      </c>
      <c r="B73" s="6"/>
      <c r="C73" s="5"/>
      <c r="D73" s="5"/>
      <c r="E73" s="5"/>
      <c r="F73" s="5"/>
      <c r="G73" s="5"/>
      <c r="H73" s="5"/>
      <c r="I73" s="6"/>
      <c r="J73" s="5"/>
      <c r="K73" s="5"/>
      <c r="L73" s="7"/>
      <c r="M73" s="7"/>
      <c r="N73" s="5"/>
      <c r="O73" s="8">
        <f>IF(B73="","",IF(AND(G73="Externe",J73&lt;&gt;"Oui"),"Annexer le rapport",IF(AND(K73="Oui",M73=""),"Suites à décider","Complet")))</f>
      </c>
    </row>
    <row r="74" spans="1:15" x14ac:dyDescent="0.25">
      <c r="A74" s="5">
        <v>70</v>
      </c>
      <c r="B74" s="6"/>
      <c r="C74" s="5"/>
      <c r="D74" s="5"/>
      <c r="E74" s="5"/>
      <c r="F74" s="5"/>
      <c r="G74" s="5"/>
      <c r="H74" s="5"/>
      <c r="I74" s="6"/>
      <c r="J74" s="5"/>
      <c r="K74" s="5"/>
      <c r="L74" s="7"/>
      <c r="M74" s="7"/>
      <c r="N74" s="5"/>
      <c r="O74" s="8">
        <f>IF(B74="","",IF(AND(G74="Externe",J74&lt;&gt;"Oui"),"Annexer le rapport",IF(AND(K74="Oui",M74=""),"Suites à décider","Complet")))</f>
      </c>
    </row>
    <row r="75" spans="1:15" x14ac:dyDescent="0.25">
      <c r="A75" s="5">
        <v>71</v>
      </c>
      <c r="B75" s="6"/>
      <c r="C75" s="5"/>
      <c r="D75" s="5"/>
      <c r="E75" s="5"/>
      <c r="F75" s="5"/>
      <c r="G75" s="5"/>
      <c r="H75" s="5"/>
      <c r="I75" s="6"/>
      <c r="J75" s="5"/>
      <c r="K75" s="5"/>
      <c r="L75" s="7"/>
      <c r="M75" s="7"/>
      <c r="N75" s="5"/>
      <c r="O75" s="8">
        <f>IF(B75="","",IF(AND(G75="Externe",J75&lt;&gt;"Oui"),"Annexer le rapport",IF(AND(K75="Oui",M75=""),"Suites à décider","Complet")))</f>
      </c>
    </row>
    <row r="76" spans="1:15" x14ac:dyDescent="0.25">
      <c r="A76" s="5">
        <v>72</v>
      </c>
      <c r="B76" s="6"/>
      <c r="C76" s="5"/>
      <c r="D76" s="5"/>
      <c r="E76" s="5"/>
      <c r="F76" s="5"/>
      <c r="G76" s="5"/>
      <c r="H76" s="5"/>
      <c r="I76" s="6"/>
      <c r="J76" s="5"/>
      <c r="K76" s="5"/>
      <c r="L76" s="7"/>
      <c r="M76" s="7"/>
      <c r="N76" s="5"/>
      <c r="O76" s="8">
        <f>IF(B76="","",IF(AND(G76="Externe",J76&lt;&gt;"Oui"),"Annexer le rapport",IF(AND(K76="Oui",M76=""),"Suites à décider","Complet")))</f>
      </c>
    </row>
    <row r="77" spans="1:15" x14ac:dyDescent="0.25">
      <c r="A77" s="5">
        <v>73</v>
      </c>
      <c r="B77" s="6"/>
      <c r="C77" s="5"/>
      <c r="D77" s="5"/>
      <c r="E77" s="5"/>
      <c r="F77" s="5"/>
      <c r="G77" s="5"/>
      <c r="H77" s="5"/>
      <c r="I77" s="6"/>
      <c r="J77" s="5"/>
      <c r="K77" s="5"/>
      <c r="L77" s="7"/>
      <c r="M77" s="7"/>
      <c r="N77" s="5"/>
      <c r="O77" s="8">
        <f>IF(B77="","",IF(AND(G77="Externe",J77&lt;&gt;"Oui"),"Annexer le rapport",IF(AND(K77="Oui",M77=""),"Suites à décider","Complet")))</f>
      </c>
    </row>
    <row r="78" spans="1:15" x14ac:dyDescent="0.25">
      <c r="A78" s="5">
        <v>74</v>
      </c>
      <c r="B78" s="6"/>
      <c r="C78" s="5"/>
      <c r="D78" s="5"/>
      <c r="E78" s="5"/>
      <c r="F78" s="5"/>
      <c r="G78" s="5"/>
      <c r="H78" s="5"/>
      <c r="I78" s="6"/>
      <c r="J78" s="5"/>
      <c r="K78" s="5"/>
      <c r="L78" s="7"/>
      <c r="M78" s="7"/>
      <c r="N78" s="5"/>
      <c r="O78" s="8">
        <f>IF(B78="","",IF(AND(G78="Externe",J78&lt;&gt;"Oui"),"Annexer le rapport",IF(AND(K78="Oui",M78=""),"Suites à décider","Complet")))</f>
      </c>
    </row>
    <row r="79" spans="1:15" x14ac:dyDescent="0.25">
      <c r="A79" s="5">
        <v>75</v>
      </c>
      <c r="B79" s="6"/>
      <c r="C79" s="5"/>
      <c r="D79" s="5"/>
      <c r="E79" s="5"/>
      <c r="F79" s="5"/>
      <c r="G79" s="5"/>
      <c r="H79" s="5"/>
      <c r="I79" s="6"/>
      <c r="J79" s="5"/>
      <c r="K79" s="5"/>
      <c r="L79" s="7"/>
      <c r="M79" s="7"/>
      <c r="N79" s="5"/>
      <c r="O79" s="8">
        <f>IF(B79="","",IF(AND(G79="Externe",J79&lt;&gt;"Oui"),"Annexer le rapport",IF(AND(K79="Oui",M79=""),"Suites à décider","Complet")))</f>
      </c>
    </row>
    <row r="80" spans="1:15" x14ac:dyDescent="0.25">
      <c r="A80" s="5">
        <v>76</v>
      </c>
      <c r="B80" s="6"/>
      <c r="C80" s="5"/>
      <c r="D80" s="5"/>
      <c r="E80" s="5"/>
      <c r="F80" s="5"/>
      <c r="G80" s="5"/>
      <c r="H80" s="5"/>
      <c r="I80" s="6"/>
      <c r="J80" s="5"/>
      <c r="K80" s="5"/>
      <c r="L80" s="7"/>
      <c r="M80" s="7"/>
      <c r="N80" s="5"/>
      <c r="O80" s="8">
        <f>IF(B80="","",IF(AND(G80="Externe",J80&lt;&gt;"Oui"),"Annexer le rapport",IF(AND(K80="Oui",M80=""),"Suites à décider","Complet")))</f>
      </c>
    </row>
    <row r="81" spans="1:15" x14ac:dyDescent="0.25">
      <c r="A81" s="5">
        <v>77</v>
      </c>
      <c r="B81" s="6"/>
      <c r="C81" s="5"/>
      <c r="D81" s="5"/>
      <c r="E81" s="5"/>
      <c r="F81" s="5"/>
      <c r="G81" s="5"/>
      <c r="H81" s="5"/>
      <c r="I81" s="6"/>
      <c r="J81" s="5"/>
      <c r="K81" s="5"/>
      <c r="L81" s="7"/>
      <c r="M81" s="7"/>
      <c r="N81" s="5"/>
      <c r="O81" s="8">
        <f>IF(B81="","",IF(AND(G81="Externe",J81&lt;&gt;"Oui"),"Annexer le rapport",IF(AND(K81="Oui",M81=""),"Suites à décider","Complet")))</f>
      </c>
    </row>
    <row r="82" spans="1:15" x14ac:dyDescent="0.25">
      <c r="A82" s="5">
        <v>78</v>
      </c>
      <c r="B82" s="6"/>
      <c r="C82" s="5"/>
      <c r="D82" s="5"/>
      <c r="E82" s="5"/>
      <c r="F82" s="5"/>
      <c r="G82" s="5"/>
      <c r="H82" s="5"/>
      <c r="I82" s="6"/>
      <c r="J82" s="5"/>
      <c r="K82" s="5"/>
      <c r="L82" s="7"/>
      <c r="M82" s="7"/>
      <c r="N82" s="5"/>
      <c r="O82" s="8">
        <f>IF(B82="","",IF(AND(G82="Externe",J82&lt;&gt;"Oui"),"Annexer le rapport",IF(AND(K82="Oui",M82=""),"Suites à décider","Complet")))</f>
      </c>
    </row>
    <row r="83" spans="1:15" x14ac:dyDescent="0.25">
      <c r="A83" s="5">
        <v>79</v>
      </c>
      <c r="B83" s="6"/>
      <c r="C83" s="5"/>
      <c r="D83" s="5"/>
      <c r="E83" s="5"/>
      <c r="F83" s="5"/>
      <c r="G83" s="5"/>
      <c r="H83" s="5"/>
      <c r="I83" s="6"/>
      <c r="J83" s="5"/>
      <c r="K83" s="5"/>
      <c r="L83" s="7"/>
      <c r="M83" s="7"/>
      <c r="N83" s="5"/>
      <c r="O83" s="8">
        <f>IF(B83="","",IF(AND(G83="Externe",J83&lt;&gt;"Oui"),"Annexer le rapport",IF(AND(K83="Oui",M83=""),"Suites à décider","Complet")))</f>
      </c>
    </row>
    <row r="84" spans="1:15" x14ac:dyDescent="0.25">
      <c r="A84" s="5">
        <v>80</v>
      </c>
      <c r="B84" s="6"/>
      <c r="C84" s="5"/>
      <c r="D84" s="5"/>
      <c r="E84" s="5"/>
      <c r="F84" s="5"/>
      <c r="G84" s="5"/>
      <c r="H84" s="5"/>
      <c r="I84" s="6"/>
      <c r="J84" s="5"/>
      <c r="K84" s="5"/>
      <c r="L84" s="7"/>
      <c r="M84" s="7"/>
      <c r="N84" s="5"/>
      <c r="O84" s="8">
        <f>IF(B84="","",IF(AND(G84="Externe",J84&lt;&gt;"Oui"),"Annexer le rapport",IF(AND(K84="Oui",M84=""),"Suites à décider","Complet")))</f>
      </c>
    </row>
    <row r="85" spans="1:15" x14ac:dyDescent="0.25">
      <c r="A85" s="5">
        <v>81</v>
      </c>
      <c r="B85" s="6"/>
      <c r="C85" s="5"/>
      <c r="D85" s="5"/>
      <c r="E85" s="5"/>
      <c r="F85" s="5"/>
      <c r="G85" s="5"/>
      <c r="H85" s="5"/>
      <c r="I85" s="6"/>
      <c r="J85" s="5"/>
      <c r="K85" s="5"/>
      <c r="L85" s="7"/>
      <c r="M85" s="7"/>
      <c r="N85" s="5"/>
      <c r="O85" s="8">
        <f>IF(B85="","",IF(AND(G85="Externe",J85&lt;&gt;"Oui"),"Annexer le rapport",IF(AND(K85="Oui",M85=""),"Suites à décider","Complet")))</f>
      </c>
    </row>
    <row r="86" spans="1:15" x14ac:dyDescent="0.25">
      <c r="A86" s="5">
        <v>82</v>
      </c>
      <c r="B86" s="6"/>
      <c r="C86" s="5"/>
      <c r="D86" s="5"/>
      <c r="E86" s="5"/>
      <c r="F86" s="5"/>
      <c r="G86" s="5"/>
      <c r="H86" s="5"/>
      <c r="I86" s="6"/>
      <c r="J86" s="5"/>
      <c r="K86" s="5"/>
      <c r="L86" s="7"/>
      <c r="M86" s="7"/>
      <c r="N86" s="5"/>
      <c r="O86" s="8">
        <f>IF(B86="","",IF(AND(G86="Externe",J86&lt;&gt;"Oui"),"Annexer le rapport",IF(AND(K86="Oui",M86=""),"Suites à décider","Complet")))</f>
      </c>
    </row>
    <row r="87" spans="1:15" x14ac:dyDescent="0.25">
      <c r="A87" s="5">
        <v>83</v>
      </c>
      <c r="B87" s="6"/>
      <c r="C87" s="5"/>
      <c r="D87" s="5"/>
      <c r="E87" s="5"/>
      <c r="F87" s="5"/>
      <c r="G87" s="5"/>
      <c r="H87" s="5"/>
      <c r="I87" s="6"/>
      <c r="J87" s="5"/>
      <c r="K87" s="5"/>
      <c r="L87" s="7"/>
      <c r="M87" s="7"/>
      <c r="N87" s="5"/>
      <c r="O87" s="8">
        <f>IF(B87="","",IF(AND(G87="Externe",J87&lt;&gt;"Oui"),"Annexer le rapport",IF(AND(K87="Oui",M87=""),"Suites à décider","Complet")))</f>
      </c>
    </row>
    <row r="88" spans="1:15" x14ac:dyDescent="0.25">
      <c r="A88" s="5">
        <v>84</v>
      </c>
      <c r="B88" s="6"/>
      <c r="C88" s="5"/>
      <c r="D88" s="5"/>
      <c r="E88" s="5"/>
      <c r="F88" s="5"/>
      <c r="G88" s="5"/>
      <c r="H88" s="5"/>
      <c r="I88" s="6"/>
      <c r="J88" s="5"/>
      <c r="K88" s="5"/>
      <c r="L88" s="7"/>
      <c r="M88" s="7"/>
      <c r="N88" s="5"/>
      <c r="O88" s="8">
        <f>IF(B88="","",IF(AND(G88="Externe",J88&lt;&gt;"Oui"),"Annexer le rapport",IF(AND(K88="Oui",M88=""),"Suites à décider","Complet")))</f>
      </c>
    </row>
    <row r="89" spans="1:15" x14ac:dyDescent="0.25">
      <c r="A89" s="5">
        <v>85</v>
      </c>
      <c r="B89" s="6"/>
      <c r="C89" s="5"/>
      <c r="D89" s="5"/>
      <c r="E89" s="5"/>
      <c r="F89" s="5"/>
      <c r="G89" s="5"/>
      <c r="H89" s="5"/>
      <c r="I89" s="6"/>
      <c r="J89" s="5"/>
      <c r="K89" s="5"/>
      <c r="L89" s="7"/>
      <c r="M89" s="7"/>
      <c r="N89" s="5"/>
      <c r="O89" s="8">
        <f>IF(B89="","",IF(AND(G89="Externe",J89&lt;&gt;"Oui"),"Annexer le rapport",IF(AND(K89="Oui",M89=""),"Suites à décider","Complet")))</f>
      </c>
    </row>
    <row r="90" spans="1:15" x14ac:dyDescent="0.25">
      <c r="A90" s="5">
        <v>86</v>
      </c>
      <c r="B90" s="6"/>
      <c r="C90" s="5"/>
      <c r="D90" s="5"/>
      <c r="E90" s="5"/>
      <c r="F90" s="5"/>
      <c r="G90" s="5"/>
      <c r="H90" s="5"/>
      <c r="I90" s="6"/>
      <c r="J90" s="5"/>
      <c r="K90" s="5"/>
      <c r="L90" s="7"/>
      <c r="M90" s="7"/>
      <c r="N90" s="5"/>
      <c r="O90" s="8">
        <f>IF(B90="","",IF(AND(G90="Externe",J90&lt;&gt;"Oui"),"Annexer le rapport",IF(AND(K90="Oui",M90=""),"Suites à décider","Complet")))</f>
      </c>
    </row>
    <row r="91" spans="1:15" x14ac:dyDescent="0.25">
      <c r="A91" s="5">
        <v>87</v>
      </c>
      <c r="B91" s="6"/>
      <c r="C91" s="5"/>
      <c r="D91" s="5"/>
      <c r="E91" s="5"/>
      <c r="F91" s="5"/>
      <c r="G91" s="5"/>
      <c r="H91" s="5"/>
      <c r="I91" s="6"/>
      <c r="J91" s="5"/>
      <c r="K91" s="5"/>
      <c r="L91" s="7"/>
      <c r="M91" s="7"/>
      <c r="N91" s="5"/>
      <c r="O91" s="8">
        <f>IF(B91="","",IF(AND(G91="Externe",J91&lt;&gt;"Oui"),"Annexer le rapport",IF(AND(K91="Oui",M91=""),"Suites à décider","Complet")))</f>
      </c>
    </row>
    <row r="92" spans="1:15" x14ac:dyDescent="0.25">
      <c r="A92" s="5">
        <v>88</v>
      </c>
      <c r="B92" s="6"/>
      <c r="C92" s="5"/>
      <c r="D92" s="5"/>
      <c r="E92" s="5"/>
      <c r="F92" s="5"/>
      <c r="G92" s="5"/>
      <c r="H92" s="5"/>
      <c r="I92" s="6"/>
      <c r="J92" s="5"/>
      <c r="K92" s="5"/>
      <c r="L92" s="7"/>
      <c r="M92" s="7"/>
      <c r="N92" s="5"/>
      <c r="O92" s="8">
        <f>IF(B92="","",IF(AND(G92="Externe",J92&lt;&gt;"Oui"),"Annexer le rapport",IF(AND(K92="Oui",M92=""),"Suites à décider","Complet")))</f>
      </c>
    </row>
    <row r="93" spans="1:15" x14ac:dyDescent="0.25">
      <c r="A93" s="5">
        <v>89</v>
      </c>
      <c r="B93" s="6"/>
      <c r="C93" s="5"/>
      <c r="D93" s="5"/>
      <c r="E93" s="5"/>
      <c r="F93" s="5"/>
      <c r="G93" s="5"/>
      <c r="H93" s="5"/>
      <c r="I93" s="6"/>
      <c r="J93" s="5"/>
      <c r="K93" s="5"/>
      <c r="L93" s="7"/>
      <c r="M93" s="7"/>
      <c r="N93" s="5"/>
      <c r="O93" s="8">
        <f>IF(B93="","",IF(AND(G93="Externe",J93&lt;&gt;"Oui"),"Annexer le rapport",IF(AND(K93="Oui",M93=""),"Suites à décider","Complet")))</f>
      </c>
    </row>
    <row r="94" spans="1:15" x14ac:dyDescent="0.25">
      <c r="A94" s="5">
        <v>90</v>
      </c>
      <c r="B94" s="6"/>
      <c r="C94" s="5"/>
      <c r="D94" s="5"/>
      <c r="E94" s="5"/>
      <c r="F94" s="5"/>
      <c r="G94" s="5"/>
      <c r="H94" s="5"/>
      <c r="I94" s="6"/>
      <c r="J94" s="5"/>
      <c r="K94" s="5"/>
      <c r="L94" s="7"/>
      <c r="M94" s="7"/>
      <c r="N94" s="5"/>
      <c r="O94" s="8">
        <f>IF(B94="","",IF(AND(G94="Externe",J94&lt;&gt;"Oui"),"Annexer le rapport",IF(AND(K94="Oui",M94=""),"Suites à décider","Complet")))</f>
      </c>
    </row>
    <row r="95" spans="1:15" x14ac:dyDescent="0.25">
      <c r="A95" s="5">
        <v>91</v>
      </c>
      <c r="B95" s="6"/>
      <c r="C95" s="5"/>
      <c r="D95" s="5"/>
      <c r="E95" s="5"/>
      <c r="F95" s="5"/>
      <c r="G95" s="5"/>
      <c r="H95" s="5"/>
      <c r="I95" s="6"/>
      <c r="J95" s="5"/>
      <c r="K95" s="5"/>
      <c r="L95" s="7"/>
      <c r="M95" s="7"/>
      <c r="N95" s="5"/>
      <c r="O95" s="8">
        <f>IF(B95="","",IF(AND(G95="Externe",J95&lt;&gt;"Oui"),"Annexer le rapport",IF(AND(K95="Oui",M95=""),"Suites à décider","Complet")))</f>
      </c>
    </row>
    <row r="96" spans="1:15" x14ac:dyDescent="0.25">
      <c r="A96" s="5">
        <v>92</v>
      </c>
      <c r="B96" s="6"/>
      <c r="C96" s="5"/>
      <c r="D96" s="5"/>
      <c r="E96" s="5"/>
      <c r="F96" s="5"/>
      <c r="G96" s="5"/>
      <c r="H96" s="5"/>
      <c r="I96" s="6"/>
      <c r="J96" s="5"/>
      <c r="K96" s="5"/>
      <c r="L96" s="7"/>
      <c r="M96" s="7"/>
      <c r="N96" s="5"/>
      <c r="O96" s="8">
        <f>IF(B96="","",IF(AND(G96="Externe",J96&lt;&gt;"Oui"),"Annexer le rapport",IF(AND(K96="Oui",M96=""),"Suites à décider","Complet")))</f>
      </c>
    </row>
    <row r="97" spans="1:15" x14ac:dyDescent="0.25">
      <c r="A97" s="5">
        <v>93</v>
      </c>
      <c r="B97" s="6"/>
      <c r="C97" s="5"/>
      <c r="D97" s="5"/>
      <c r="E97" s="5"/>
      <c r="F97" s="5"/>
      <c r="G97" s="5"/>
      <c r="H97" s="5"/>
      <c r="I97" s="6"/>
      <c r="J97" s="5"/>
      <c r="K97" s="5"/>
      <c r="L97" s="7"/>
      <c r="M97" s="7"/>
      <c r="N97" s="5"/>
      <c r="O97" s="8">
        <f>IF(B97="","",IF(AND(G97="Externe",J97&lt;&gt;"Oui"),"Annexer le rapport",IF(AND(K97="Oui",M97=""),"Suites à décider","Complet")))</f>
      </c>
    </row>
    <row r="98" spans="1:15" x14ac:dyDescent="0.25">
      <c r="A98" s="5">
        <v>94</v>
      </c>
      <c r="B98" s="6"/>
      <c r="C98" s="5"/>
      <c r="D98" s="5"/>
      <c r="E98" s="5"/>
      <c r="F98" s="5"/>
      <c r="G98" s="5"/>
      <c r="H98" s="5"/>
      <c r="I98" s="6"/>
      <c r="J98" s="5"/>
      <c r="K98" s="5"/>
      <c r="L98" s="7"/>
      <c r="M98" s="7"/>
      <c r="N98" s="5"/>
      <c r="O98" s="8">
        <f>IF(B98="","",IF(AND(G98="Externe",J98&lt;&gt;"Oui"),"Annexer le rapport",IF(AND(K98="Oui",M98=""),"Suites à décider","Complet")))</f>
      </c>
    </row>
    <row r="99" spans="1:15" x14ac:dyDescent="0.25">
      <c r="A99" s="5">
        <v>95</v>
      </c>
      <c r="B99" s="6"/>
      <c r="C99" s="5"/>
      <c r="D99" s="5"/>
      <c r="E99" s="5"/>
      <c r="F99" s="5"/>
      <c r="G99" s="5"/>
      <c r="H99" s="5"/>
      <c r="I99" s="6"/>
      <c r="J99" s="5"/>
      <c r="K99" s="5"/>
      <c r="L99" s="7"/>
      <c r="M99" s="7"/>
      <c r="N99" s="5"/>
      <c r="O99" s="8">
        <f>IF(B99="","",IF(AND(G99="Externe",J99&lt;&gt;"Oui"),"Annexer le rapport",IF(AND(K99="Oui",M99=""),"Suites à décider","Complet")))</f>
      </c>
    </row>
    <row r="100" spans="1:15" x14ac:dyDescent="0.25">
      <c r="A100" s="5">
        <v>96</v>
      </c>
      <c r="B100" s="6"/>
      <c r="C100" s="5"/>
      <c r="D100" s="5"/>
      <c r="E100" s="5"/>
      <c r="F100" s="5"/>
      <c r="G100" s="5"/>
      <c r="H100" s="5"/>
      <c r="I100" s="6"/>
      <c r="J100" s="5"/>
      <c r="K100" s="5"/>
      <c r="L100" s="7"/>
      <c r="M100" s="7"/>
      <c r="N100" s="5"/>
      <c r="O100" s="8">
        <f>IF(B100="","",IF(AND(G100="Externe",J100&lt;&gt;"Oui"),"Annexer le rapport",IF(AND(K100="Oui",M100=""),"Suites à décider","Complet")))</f>
      </c>
    </row>
    <row r="101" spans="1:15" x14ac:dyDescent="0.25">
      <c r="A101" s="5">
        <v>97</v>
      </c>
      <c r="B101" s="6"/>
      <c r="C101" s="5"/>
      <c r="D101" s="5"/>
      <c r="E101" s="5"/>
      <c r="F101" s="5"/>
      <c r="G101" s="5"/>
      <c r="H101" s="5"/>
      <c r="I101" s="6"/>
      <c r="J101" s="5"/>
      <c r="K101" s="5"/>
      <c r="L101" s="7"/>
      <c r="M101" s="7"/>
      <c r="N101" s="5"/>
      <c r="O101" s="8">
        <f>IF(B101="","",IF(AND(G101="Externe",J101&lt;&gt;"Oui"),"Annexer le rapport",IF(AND(K101="Oui",M101=""),"Suites à décider","Complet")))</f>
      </c>
    </row>
    <row r="102" spans="1:15" x14ac:dyDescent="0.25">
      <c r="A102" s="5">
        <v>98</v>
      </c>
      <c r="B102" s="6"/>
      <c r="C102" s="5"/>
      <c r="D102" s="5"/>
      <c r="E102" s="5"/>
      <c r="F102" s="5"/>
      <c r="G102" s="5"/>
      <c r="H102" s="5"/>
      <c r="I102" s="6"/>
      <c r="J102" s="5"/>
      <c r="K102" s="5"/>
      <c r="L102" s="7"/>
      <c r="M102" s="7"/>
      <c r="N102" s="5"/>
      <c r="O102" s="8">
        <f>IF(B102="","",IF(AND(G102="Externe",J102&lt;&gt;"Oui"),"Annexer le rapport",IF(AND(K102="Oui",M102=""),"Suites à décider","Complet")))</f>
      </c>
    </row>
    <row r="103" spans="1:15" x14ac:dyDescent="0.25">
      <c r="A103" s="5">
        <v>99</v>
      </c>
      <c r="B103" s="6"/>
      <c r="C103" s="5"/>
      <c r="D103" s="5"/>
      <c r="E103" s="5"/>
      <c r="F103" s="5"/>
      <c r="G103" s="5"/>
      <c r="H103" s="5"/>
      <c r="I103" s="6"/>
      <c r="J103" s="5"/>
      <c r="K103" s="5"/>
      <c r="L103" s="7"/>
      <c r="M103" s="7"/>
      <c r="N103" s="5"/>
      <c r="O103" s="8">
        <f>IF(B103="","",IF(AND(G103="Externe",J103&lt;&gt;"Oui"),"Annexer le rapport",IF(AND(K103="Oui",M103=""),"Suites à décider","Complet")))</f>
      </c>
    </row>
    <row r="104" spans="1:15" x14ac:dyDescent="0.25">
      <c r="A104" s="5">
        <v>100</v>
      </c>
      <c r="B104" s="6"/>
      <c r="C104" s="5"/>
      <c r="D104" s="5"/>
      <c r="E104" s="5"/>
      <c r="F104" s="5"/>
      <c r="G104" s="5"/>
      <c r="H104" s="5"/>
      <c r="I104" s="6"/>
      <c r="J104" s="5"/>
      <c r="K104" s="5"/>
      <c r="L104" s="7"/>
      <c r="M104" s="7"/>
      <c r="N104" s="5"/>
      <c r="O104" s="8">
        <f>IF(B104="","",IF(AND(G104="Externe",J104&lt;&gt;"Oui"),"Annexer le rapport",IF(AND(K104="Oui",M104=""),"Suites à décider","Complet")))</f>
      </c>
    </row>
    <row r="105" spans="1:15" x14ac:dyDescent="0.25">
      <c r="A105" s="5">
        <v>101</v>
      </c>
      <c r="B105" s="6"/>
      <c r="C105" s="5"/>
      <c r="D105" s="5"/>
      <c r="E105" s="5"/>
      <c r="F105" s="5"/>
      <c r="G105" s="5"/>
      <c r="H105" s="5"/>
      <c r="I105" s="6"/>
      <c r="J105" s="5"/>
      <c r="K105" s="5"/>
      <c r="L105" s="7"/>
      <c r="M105" s="7"/>
      <c r="N105" s="5"/>
      <c r="O105" s="8">
        <f>IF(B105="","",IF(AND(G105="Externe",J105&lt;&gt;"Oui"),"Annexer le rapport",IF(AND(K105="Oui",M105=""),"Suites à décider","Complet")))</f>
      </c>
    </row>
    <row r="106" spans="1:15" x14ac:dyDescent="0.25">
      <c r="A106" s="5">
        <v>102</v>
      </c>
      <c r="B106" s="6"/>
      <c r="C106" s="5"/>
      <c r="D106" s="5"/>
      <c r="E106" s="5"/>
      <c r="F106" s="5"/>
      <c r="G106" s="5"/>
      <c r="H106" s="5"/>
      <c r="I106" s="6"/>
      <c r="J106" s="5"/>
      <c r="K106" s="5"/>
      <c r="L106" s="7"/>
      <c r="M106" s="7"/>
      <c r="N106" s="5"/>
      <c r="O106" s="8">
        <f>IF(B106="","",IF(AND(G106="Externe",J106&lt;&gt;"Oui"),"Annexer le rapport",IF(AND(K106="Oui",M106=""),"Suites à décider","Complet")))</f>
      </c>
    </row>
    <row r="107" spans="1:15" x14ac:dyDescent="0.25">
      <c r="A107" s="5">
        <v>103</v>
      </c>
      <c r="B107" s="6"/>
      <c r="C107" s="5"/>
      <c r="D107" s="5"/>
      <c r="E107" s="5"/>
      <c r="F107" s="5"/>
      <c r="G107" s="5"/>
      <c r="H107" s="5"/>
      <c r="I107" s="6"/>
      <c r="J107" s="5"/>
      <c r="K107" s="5"/>
      <c r="L107" s="7"/>
      <c r="M107" s="7"/>
      <c r="N107" s="5"/>
      <c r="O107" s="8">
        <f>IF(B107="","",IF(AND(G107="Externe",J107&lt;&gt;"Oui"),"Annexer le rapport",IF(AND(K107="Oui",M107=""),"Suites à décider","Complet")))</f>
      </c>
    </row>
    <row r="108" spans="1:15" x14ac:dyDescent="0.25">
      <c r="A108" s="5">
        <v>104</v>
      </c>
      <c r="B108" s="6"/>
      <c r="C108" s="5"/>
      <c r="D108" s="5"/>
      <c r="E108" s="5"/>
      <c r="F108" s="5"/>
      <c r="G108" s="5"/>
      <c r="H108" s="5"/>
      <c r="I108" s="6"/>
      <c r="J108" s="5"/>
      <c r="K108" s="5"/>
      <c r="L108" s="7"/>
      <c r="M108" s="7"/>
      <c r="N108" s="5"/>
      <c r="O108" s="8">
        <f>IF(B108="","",IF(AND(G108="Externe",J108&lt;&gt;"Oui"),"Annexer le rapport",IF(AND(K108="Oui",M108=""),"Suites à décider","Complet")))</f>
      </c>
    </row>
    <row r="109" spans="1:15" x14ac:dyDescent="0.25">
      <c r="A109" s="5">
        <v>105</v>
      </c>
      <c r="B109" s="6"/>
      <c r="C109" s="5"/>
      <c r="D109" s="5"/>
      <c r="E109" s="5"/>
      <c r="F109" s="5"/>
      <c r="G109" s="5"/>
      <c r="H109" s="5"/>
      <c r="I109" s="6"/>
      <c r="J109" s="5"/>
      <c r="K109" s="5"/>
      <c r="L109" s="7"/>
      <c r="M109" s="7"/>
      <c r="N109" s="5"/>
      <c r="O109" s="8">
        <f>IF(B109="","",IF(AND(G109="Externe",J109&lt;&gt;"Oui"),"Annexer le rapport",IF(AND(K109="Oui",M109=""),"Suites à décider","Complet")))</f>
      </c>
    </row>
    <row r="110" spans="1:15" x14ac:dyDescent="0.25">
      <c r="A110" s="5">
        <v>106</v>
      </c>
      <c r="B110" s="6"/>
      <c r="C110" s="5"/>
      <c r="D110" s="5"/>
      <c r="E110" s="5"/>
      <c r="F110" s="5"/>
      <c r="G110" s="5"/>
      <c r="H110" s="5"/>
      <c r="I110" s="6"/>
      <c r="J110" s="5"/>
      <c r="K110" s="5"/>
      <c r="L110" s="7"/>
      <c r="M110" s="7"/>
      <c r="N110" s="5"/>
      <c r="O110" s="8">
        <f>IF(B110="","",IF(AND(G110="Externe",J110&lt;&gt;"Oui"),"Annexer le rapport",IF(AND(K110="Oui",M110=""),"Suites à décider","Complet")))</f>
      </c>
    </row>
    <row r="111" spans="1:15" x14ac:dyDescent="0.25">
      <c r="A111" s="5">
        <v>107</v>
      </c>
      <c r="B111" s="6"/>
      <c r="C111" s="5"/>
      <c r="D111" s="5"/>
      <c r="E111" s="5"/>
      <c r="F111" s="5"/>
      <c r="G111" s="5"/>
      <c r="H111" s="5"/>
      <c r="I111" s="6"/>
      <c r="J111" s="5"/>
      <c r="K111" s="5"/>
      <c r="L111" s="7"/>
      <c r="M111" s="7"/>
      <c r="N111" s="5"/>
      <c r="O111" s="8">
        <f>IF(B111="","",IF(AND(G111="Externe",J111&lt;&gt;"Oui"),"Annexer le rapport",IF(AND(K111="Oui",M111=""),"Suites à décider","Complet")))</f>
      </c>
    </row>
    <row r="112" spans="1:15" x14ac:dyDescent="0.25">
      <c r="A112" s="5">
        <v>108</v>
      </c>
      <c r="B112" s="6"/>
      <c r="C112" s="5"/>
      <c r="D112" s="5"/>
      <c r="E112" s="5"/>
      <c r="F112" s="5"/>
      <c r="G112" s="5"/>
      <c r="H112" s="5"/>
      <c r="I112" s="6"/>
      <c r="J112" s="5"/>
      <c r="K112" s="5"/>
      <c r="L112" s="7"/>
      <c r="M112" s="7"/>
      <c r="N112" s="5"/>
      <c r="O112" s="8">
        <f>IF(B112="","",IF(AND(G112="Externe",J112&lt;&gt;"Oui"),"Annexer le rapport",IF(AND(K112="Oui",M112=""),"Suites à décider","Complet")))</f>
      </c>
    </row>
    <row r="113" spans="1:15" x14ac:dyDescent="0.25">
      <c r="A113" s="5">
        <v>109</v>
      </c>
      <c r="B113" s="6"/>
      <c r="C113" s="5"/>
      <c r="D113" s="5"/>
      <c r="E113" s="5"/>
      <c r="F113" s="5"/>
      <c r="G113" s="5"/>
      <c r="H113" s="5"/>
      <c r="I113" s="6"/>
      <c r="J113" s="5"/>
      <c r="K113" s="5"/>
      <c r="L113" s="7"/>
      <c r="M113" s="7"/>
      <c r="N113" s="5"/>
      <c r="O113" s="8">
        <f>IF(B113="","",IF(AND(G113="Externe",J113&lt;&gt;"Oui"),"Annexer le rapport",IF(AND(K113="Oui",M113=""),"Suites à décider","Complet")))</f>
      </c>
    </row>
    <row r="114" spans="1:15" x14ac:dyDescent="0.25">
      <c r="A114" s="5">
        <v>110</v>
      </c>
      <c r="B114" s="6"/>
      <c r="C114" s="5"/>
      <c r="D114" s="5"/>
      <c r="E114" s="5"/>
      <c r="F114" s="5"/>
      <c r="G114" s="5"/>
      <c r="H114" s="5"/>
      <c r="I114" s="6"/>
      <c r="J114" s="5"/>
      <c r="K114" s="5"/>
      <c r="L114" s="7"/>
      <c r="M114" s="7"/>
      <c r="N114" s="5"/>
      <c r="O114" s="8">
        <f>IF(B114="","",IF(AND(G114="Externe",J114&lt;&gt;"Oui"),"Annexer le rapport",IF(AND(K114="Oui",M114=""),"Suites à décider","Complet")))</f>
      </c>
    </row>
    <row r="115" spans="1:15" x14ac:dyDescent="0.25">
      <c r="A115" s="5">
        <v>111</v>
      </c>
      <c r="B115" s="6"/>
      <c r="C115" s="5"/>
      <c r="D115" s="5"/>
      <c r="E115" s="5"/>
      <c r="F115" s="5"/>
      <c r="G115" s="5"/>
      <c r="H115" s="5"/>
      <c r="I115" s="6"/>
      <c r="J115" s="5"/>
      <c r="K115" s="5"/>
      <c r="L115" s="7"/>
      <c r="M115" s="7"/>
      <c r="N115" s="5"/>
      <c r="O115" s="8">
        <f>IF(B115="","",IF(AND(G115="Externe",J115&lt;&gt;"Oui"),"Annexer le rapport",IF(AND(K115="Oui",M115=""),"Suites à décider","Complet")))</f>
      </c>
    </row>
    <row r="116" spans="1:15" x14ac:dyDescent="0.25">
      <c r="A116" s="5">
        <v>112</v>
      </c>
      <c r="B116" s="6"/>
      <c r="C116" s="5"/>
      <c r="D116" s="5"/>
      <c r="E116" s="5"/>
      <c r="F116" s="5"/>
      <c r="G116" s="5"/>
      <c r="H116" s="5"/>
      <c r="I116" s="6"/>
      <c r="J116" s="5"/>
      <c r="K116" s="5"/>
      <c r="L116" s="7"/>
      <c r="M116" s="7"/>
      <c r="N116" s="5"/>
      <c r="O116" s="8">
        <f>IF(B116="","",IF(AND(G116="Externe",J116&lt;&gt;"Oui"),"Annexer le rapport",IF(AND(K116="Oui",M116=""),"Suites à décider","Complet")))</f>
      </c>
    </row>
    <row r="117" spans="1:15" x14ac:dyDescent="0.25">
      <c r="A117" s="5">
        <v>113</v>
      </c>
      <c r="B117" s="6"/>
      <c r="C117" s="5"/>
      <c r="D117" s="5"/>
      <c r="E117" s="5"/>
      <c r="F117" s="5"/>
      <c r="G117" s="5"/>
      <c r="H117" s="5"/>
      <c r="I117" s="6"/>
      <c r="J117" s="5"/>
      <c r="K117" s="5"/>
      <c r="L117" s="7"/>
      <c r="M117" s="7"/>
      <c r="N117" s="5"/>
      <c r="O117" s="8">
        <f>IF(B117="","",IF(AND(G117="Externe",J117&lt;&gt;"Oui"),"Annexer le rapport",IF(AND(K117="Oui",M117=""),"Suites à décider","Complet")))</f>
      </c>
    </row>
    <row r="118" spans="1:15" x14ac:dyDescent="0.25">
      <c r="A118" s="5">
        <v>114</v>
      </c>
      <c r="B118" s="6"/>
      <c r="C118" s="5"/>
      <c r="D118" s="5"/>
      <c r="E118" s="5"/>
      <c r="F118" s="5"/>
      <c r="G118" s="5"/>
      <c r="H118" s="5"/>
      <c r="I118" s="6"/>
      <c r="J118" s="5"/>
      <c r="K118" s="5"/>
      <c r="L118" s="7"/>
      <c r="M118" s="7"/>
      <c r="N118" s="5"/>
      <c r="O118" s="8">
        <f>IF(B118="","",IF(AND(G118="Externe",J118&lt;&gt;"Oui"),"Annexer le rapport",IF(AND(K118="Oui",M118=""),"Suites à décider","Complet")))</f>
      </c>
    </row>
    <row r="119" spans="1:15" x14ac:dyDescent="0.25">
      <c r="A119" s="5">
        <v>115</v>
      </c>
      <c r="B119" s="6"/>
      <c r="C119" s="5"/>
      <c r="D119" s="5"/>
      <c r="E119" s="5"/>
      <c r="F119" s="5"/>
      <c r="G119" s="5"/>
      <c r="H119" s="5"/>
      <c r="I119" s="6"/>
      <c r="J119" s="5"/>
      <c r="K119" s="5"/>
      <c r="L119" s="7"/>
      <c r="M119" s="7"/>
      <c r="N119" s="5"/>
      <c r="O119" s="8">
        <f>IF(B119="","",IF(AND(G119="Externe",J119&lt;&gt;"Oui"),"Annexer le rapport",IF(AND(K119="Oui",M119=""),"Suites à décider","Complet")))</f>
      </c>
    </row>
    <row r="120" spans="1:15" x14ac:dyDescent="0.25">
      <c r="A120" s="5">
        <v>116</v>
      </c>
      <c r="B120" s="6"/>
      <c r="C120" s="5"/>
      <c r="D120" s="5"/>
      <c r="E120" s="5"/>
      <c r="F120" s="5"/>
      <c r="G120" s="5"/>
      <c r="H120" s="5"/>
      <c r="I120" s="6"/>
      <c r="J120" s="5"/>
      <c r="K120" s="5"/>
      <c r="L120" s="7"/>
      <c r="M120" s="7"/>
      <c r="N120" s="5"/>
      <c r="O120" s="8">
        <f>IF(B120="","",IF(AND(G120="Externe",J120&lt;&gt;"Oui"),"Annexer le rapport",IF(AND(K120="Oui",M120=""),"Suites à décider","Complet")))</f>
      </c>
    </row>
    <row r="121" spans="1:15" x14ac:dyDescent="0.25">
      <c r="A121" s="5">
        <v>117</v>
      </c>
      <c r="B121" s="6"/>
      <c r="C121" s="5"/>
      <c r="D121" s="5"/>
      <c r="E121" s="5"/>
      <c r="F121" s="5"/>
      <c r="G121" s="5"/>
      <c r="H121" s="5"/>
      <c r="I121" s="6"/>
      <c r="J121" s="5"/>
      <c r="K121" s="5"/>
      <c r="L121" s="7"/>
      <c r="M121" s="7"/>
      <c r="N121" s="5"/>
      <c r="O121" s="8">
        <f>IF(B121="","",IF(AND(G121="Externe",J121&lt;&gt;"Oui"),"Annexer le rapport",IF(AND(K121="Oui",M121=""),"Suites à décider","Complet")))</f>
      </c>
    </row>
    <row r="122" spans="1:15" x14ac:dyDescent="0.25">
      <c r="A122" s="5">
        <v>118</v>
      </c>
      <c r="B122" s="6"/>
      <c r="C122" s="5"/>
      <c r="D122" s="5"/>
      <c r="E122" s="5"/>
      <c r="F122" s="5"/>
      <c r="G122" s="5"/>
      <c r="H122" s="5"/>
      <c r="I122" s="6"/>
      <c r="J122" s="5"/>
      <c r="K122" s="5"/>
      <c r="L122" s="7"/>
      <c r="M122" s="7"/>
      <c r="N122" s="5"/>
      <c r="O122" s="8">
        <f>IF(B122="","",IF(AND(G122="Externe",J122&lt;&gt;"Oui"),"Annexer le rapport",IF(AND(K122="Oui",M122=""),"Suites à décider","Complet")))</f>
      </c>
    </row>
    <row r="123" spans="1:15" x14ac:dyDescent="0.25">
      <c r="A123" s="5">
        <v>119</v>
      </c>
      <c r="B123" s="6"/>
      <c r="C123" s="5"/>
      <c r="D123" s="5"/>
      <c r="E123" s="5"/>
      <c r="F123" s="5"/>
      <c r="G123" s="5"/>
      <c r="H123" s="5"/>
      <c r="I123" s="6"/>
      <c r="J123" s="5"/>
      <c r="K123" s="5"/>
      <c r="L123" s="7"/>
      <c r="M123" s="7"/>
      <c r="N123" s="5"/>
      <c r="O123" s="8">
        <f>IF(B123="","",IF(AND(G123="Externe",J123&lt;&gt;"Oui"),"Annexer le rapport",IF(AND(K123="Oui",M123=""),"Suites à décider","Complet")))</f>
      </c>
    </row>
    <row r="124" spans="1:15" x14ac:dyDescent="0.25">
      <c r="A124" s="5">
        <v>120</v>
      </c>
      <c r="B124" s="6"/>
      <c r="C124" s="5"/>
      <c r="D124" s="5"/>
      <c r="E124" s="5"/>
      <c r="F124" s="5"/>
      <c r="G124" s="5"/>
      <c r="H124" s="5"/>
      <c r="I124" s="6"/>
      <c r="J124" s="5"/>
      <c r="K124" s="5"/>
      <c r="L124" s="7"/>
      <c r="M124" s="7"/>
      <c r="N124" s="5"/>
      <c r="O124" s="8">
        <f>IF(B124="","",IF(AND(G124="Externe",J124&lt;&gt;"Oui"),"Annexer le rapport",IF(AND(K124="Oui",M124=""),"Suites à décider","Complet")))</f>
      </c>
    </row>
    <row r="125" spans="1:15" x14ac:dyDescent="0.25">
      <c r="A125" s="5">
        <v>121</v>
      </c>
      <c r="B125" s="6"/>
      <c r="C125" s="5"/>
      <c r="D125" s="5"/>
      <c r="E125" s="5"/>
      <c r="F125" s="5"/>
      <c r="G125" s="5"/>
      <c r="H125" s="5"/>
      <c r="I125" s="6"/>
      <c r="J125" s="5"/>
      <c r="K125" s="5"/>
      <c r="L125" s="7"/>
      <c r="M125" s="7"/>
      <c r="N125" s="5"/>
      <c r="O125" s="8">
        <f>IF(B125="","",IF(AND(G125="Externe",J125&lt;&gt;"Oui"),"Annexer le rapport",IF(AND(K125="Oui",M125=""),"Suites à décider","Complet")))</f>
      </c>
    </row>
    <row r="126" spans="1:15" x14ac:dyDescent="0.25">
      <c r="A126" s="5">
        <v>122</v>
      </c>
      <c r="B126" s="6"/>
      <c r="C126" s="5"/>
      <c r="D126" s="5"/>
      <c r="E126" s="5"/>
      <c r="F126" s="5"/>
      <c r="G126" s="5"/>
      <c r="H126" s="5"/>
      <c r="I126" s="6"/>
      <c r="J126" s="5"/>
      <c r="K126" s="5"/>
      <c r="L126" s="7"/>
      <c r="M126" s="7"/>
      <c r="N126" s="5"/>
      <c r="O126" s="8">
        <f>IF(B126="","",IF(AND(G126="Externe",J126&lt;&gt;"Oui"),"Annexer le rapport",IF(AND(K126="Oui",M126=""),"Suites à décider","Complet")))</f>
      </c>
    </row>
    <row r="127" spans="1:15" x14ac:dyDescent="0.25">
      <c r="A127" s="5">
        <v>123</v>
      </c>
      <c r="B127" s="6"/>
      <c r="C127" s="5"/>
      <c r="D127" s="5"/>
      <c r="E127" s="5"/>
      <c r="F127" s="5"/>
      <c r="G127" s="5"/>
      <c r="H127" s="5"/>
      <c r="I127" s="6"/>
      <c r="J127" s="5"/>
      <c r="K127" s="5"/>
      <c r="L127" s="7"/>
      <c r="M127" s="7"/>
      <c r="N127" s="5"/>
      <c r="O127" s="8">
        <f>IF(B127="","",IF(AND(G127="Externe",J127&lt;&gt;"Oui"),"Annexer le rapport",IF(AND(K127="Oui",M127=""),"Suites à décider","Complet")))</f>
      </c>
    </row>
    <row r="128" spans="1:15" x14ac:dyDescent="0.25">
      <c r="A128" s="5">
        <v>124</v>
      </c>
      <c r="B128" s="6"/>
      <c r="C128" s="5"/>
      <c r="D128" s="5"/>
      <c r="E128" s="5"/>
      <c r="F128" s="5"/>
      <c r="G128" s="5"/>
      <c r="H128" s="5"/>
      <c r="I128" s="6"/>
      <c r="J128" s="5"/>
      <c r="K128" s="5"/>
      <c r="L128" s="7"/>
      <c r="M128" s="7"/>
      <c r="N128" s="5"/>
      <c r="O128" s="8">
        <f>IF(B128="","",IF(AND(G128="Externe",J128&lt;&gt;"Oui"),"Annexer le rapport",IF(AND(K128="Oui",M128=""),"Suites à décider","Complet")))</f>
      </c>
    </row>
    <row r="129" spans="1:15" x14ac:dyDescent="0.25">
      <c r="A129" s="5">
        <v>125</v>
      </c>
      <c r="B129" s="6"/>
      <c r="C129" s="5"/>
      <c r="D129" s="5"/>
      <c r="E129" s="5"/>
      <c r="F129" s="5"/>
      <c r="G129" s="5"/>
      <c r="H129" s="5"/>
      <c r="I129" s="6"/>
      <c r="J129" s="5"/>
      <c r="K129" s="5"/>
      <c r="L129" s="7"/>
      <c r="M129" s="7"/>
      <c r="N129" s="5"/>
      <c r="O129" s="8">
        <f>IF(B129="","",IF(AND(G129="Externe",J129&lt;&gt;"Oui"),"Annexer le rapport",IF(AND(K129="Oui",M129=""),"Suites à décider","Complet")))</f>
      </c>
    </row>
    <row r="130" spans="1:15" x14ac:dyDescent="0.25">
      <c r="A130" s="5">
        <v>126</v>
      </c>
      <c r="B130" s="6"/>
      <c r="C130" s="5"/>
      <c r="D130" s="5"/>
      <c r="E130" s="5"/>
      <c r="F130" s="5"/>
      <c r="G130" s="5"/>
      <c r="H130" s="5"/>
      <c r="I130" s="6"/>
      <c r="J130" s="5"/>
      <c r="K130" s="5"/>
      <c r="L130" s="7"/>
      <c r="M130" s="7"/>
      <c r="N130" s="5"/>
      <c r="O130" s="8">
        <f>IF(B130="","",IF(AND(G130="Externe",J130&lt;&gt;"Oui"),"Annexer le rapport",IF(AND(K130="Oui",M130=""),"Suites à décider","Complet")))</f>
      </c>
    </row>
    <row r="131" spans="1:15" x14ac:dyDescent="0.25">
      <c r="A131" s="5">
        <v>127</v>
      </c>
      <c r="B131" s="6"/>
      <c r="C131" s="5"/>
      <c r="D131" s="5"/>
      <c r="E131" s="5"/>
      <c r="F131" s="5"/>
      <c r="G131" s="5"/>
      <c r="H131" s="5"/>
      <c r="I131" s="6"/>
      <c r="J131" s="5"/>
      <c r="K131" s="5"/>
      <c r="L131" s="7"/>
      <c r="M131" s="7"/>
      <c r="N131" s="5"/>
      <c r="O131" s="8">
        <f>IF(B131="","",IF(AND(G131="Externe",J131&lt;&gt;"Oui"),"Annexer le rapport",IF(AND(K131="Oui",M131=""),"Suites à décider","Complet")))</f>
      </c>
    </row>
    <row r="132" spans="1:15" x14ac:dyDescent="0.25">
      <c r="A132" s="5">
        <v>128</v>
      </c>
      <c r="B132" s="6"/>
      <c r="C132" s="5"/>
      <c r="D132" s="5"/>
      <c r="E132" s="5"/>
      <c r="F132" s="5"/>
      <c r="G132" s="5"/>
      <c r="H132" s="5"/>
      <c r="I132" s="6"/>
      <c r="J132" s="5"/>
      <c r="K132" s="5"/>
      <c r="L132" s="7"/>
      <c r="M132" s="7"/>
      <c r="N132" s="5"/>
      <c r="O132" s="8">
        <f>IF(B132="","",IF(AND(G132="Externe",J132&lt;&gt;"Oui"),"Annexer le rapport",IF(AND(K132="Oui",M132=""),"Suites à décider","Complet")))</f>
      </c>
    </row>
    <row r="133" spans="1:15" x14ac:dyDescent="0.25">
      <c r="A133" s="5">
        <v>129</v>
      </c>
      <c r="B133" s="6"/>
      <c r="C133" s="5"/>
      <c r="D133" s="5"/>
      <c r="E133" s="5"/>
      <c r="F133" s="5"/>
      <c r="G133" s="5"/>
      <c r="H133" s="5"/>
      <c r="I133" s="6"/>
      <c r="J133" s="5"/>
      <c r="K133" s="5"/>
      <c r="L133" s="7"/>
      <c r="M133" s="7"/>
      <c r="N133" s="5"/>
      <c r="O133" s="8">
        <f>IF(B133="","",IF(AND(G133="Externe",J133&lt;&gt;"Oui"),"Annexer le rapport",IF(AND(K133="Oui",M133=""),"Suites à décider","Complet")))</f>
      </c>
    </row>
    <row r="134" spans="1:15" x14ac:dyDescent="0.25">
      <c r="A134" s="5">
        <v>130</v>
      </c>
      <c r="B134" s="6"/>
      <c r="C134" s="5"/>
      <c r="D134" s="5"/>
      <c r="E134" s="5"/>
      <c r="F134" s="5"/>
      <c r="G134" s="5"/>
      <c r="H134" s="5"/>
      <c r="I134" s="6"/>
      <c r="J134" s="5"/>
      <c r="K134" s="5"/>
      <c r="L134" s="7"/>
      <c r="M134" s="7"/>
      <c r="N134" s="5"/>
      <c r="O134" s="8">
        <f>IF(B134="","",IF(AND(G134="Externe",J134&lt;&gt;"Oui"),"Annexer le rapport",IF(AND(K134="Oui",M134=""),"Suites à décider","Complet")))</f>
      </c>
    </row>
    <row r="135" spans="1:15" x14ac:dyDescent="0.25">
      <c r="A135" s="5">
        <v>131</v>
      </c>
      <c r="B135" s="6"/>
      <c r="C135" s="5"/>
      <c r="D135" s="5"/>
      <c r="E135" s="5"/>
      <c r="F135" s="5"/>
      <c r="G135" s="5"/>
      <c r="H135" s="5"/>
      <c r="I135" s="6"/>
      <c r="J135" s="5"/>
      <c r="K135" s="5"/>
      <c r="L135" s="7"/>
      <c r="M135" s="7"/>
      <c r="N135" s="5"/>
      <c r="O135" s="8">
        <f>IF(B135="","",IF(AND(G135="Externe",J135&lt;&gt;"Oui"),"Annexer le rapport",IF(AND(K135="Oui",M135=""),"Suites à décider","Complet")))</f>
      </c>
    </row>
    <row r="136" spans="1:15" x14ac:dyDescent="0.25">
      <c r="A136" s="5">
        <v>132</v>
      </c>
      <c r="B136" s="6"/>
      <c r="C136" s="5"/>
      <c r="D136" s="5"/>
      <c r="E136" s="5"/>
      <c r="F136" s="5"/>
      <c r="G136" s="5"/>
      <c r="H136" s="5"/>
      <c r="I136" s="6"/>
      <c r="J136" s="5"/>
      <c r="K136" s="5"/>
      <c r="L136" s="7"/>
      <c r="M136" s="7"/>
      <c r="N136" s="5"/>
      <c r="O136" s="8">
        <f>IF(B136="","",IF(AND(G136="Externe",J136&lt;&gt;"Oui"),"Annexer le rapport",IF(AND(K136="Oui",M136=""),"Suites à décider","Complet")))</f>
      </c>
    </row>
    <row r="137" spans="1:15" x14ac:dyDescent="0.25">
      <c r="A137" s="5">
        <v>133</v>
      </c>
      <c r="B137" s="6"/>
      <c r="C137" s="5"/>
      <c r="D137" s="5"/>
      <c r="E137" s="5"/>
      <c r="F137" s="5"/>
      <c r="G137" s="5"/>
      <c r="H137" s="5"/>
      <c r="I137" s="6"/>
      <c r="J137" s="5"/>
      <c r="K137" s="5"/>
      <c r="L137" s="7"/>
      <c r="M137" s="7"/>
      <c r="N137" s="5"/>
      <c r="O137" s="8">
        <f>IF(B137="","",IF(AND(G137="Externe",J137&lt;&gt;"Oui"),"Annexer le rapport",IF(AND(K137="Oui",M137=""),"Suites à décider","Complet")))</f>
      </c>
    </row>
    <row r="138" spans="1:15" x14ac:dyDescent="0.25">
      <c r="A138" s="5">
        <v>134</v>
      </c>
      <c r="B138" s="6"/>
      <c r="C138" s="5"/>
      <c r="D138" s="5"/>
      <c r="E138" s="5"/>
      <c r="F138" s="5"/>
      <c r="G138" s="5"/>
      <c r="H138" s="5"/>
      <c r="I138" s="6"/>
      <c r="J138" s="5"/>
      <c r="K138" s="5"/>
      <c r="L138" s="7"/>
      <c r="M138" s="7"/>
      <c r="N138" s="5"/>
      <c r="O138" s="8">
        <f>IF(B138="","",IF(AND(G138="Externe",J138&lt;&gt;"Oui"),"Annexer le rapport",IF(AND(K138="Oui",M138=""),"Suites à décider","Complet")))</f>
      </c>
    </row>
    <row r="139" spans="1:15" x14ac:dyDescent="0.25">
      <c r="A139" s="5">
        <v>135</v>
      </c>
      <c r="B139" s="6"/>
      <c r="C139" s="5"/>
      <c r="D139" s="5"/>
      <c r="E139" s="5"/>
      <c r="F139" s="5"/>
      <c r="G139" s="5"/>
      <c r="H139" s="5"/>
      <c r="I139" s="6"/>
      <c r="J139" s="5"/>
      <c r="K139" s="5"/>
      <c r="L139" s="7"/>
      <c r="M139" s="7"/>
      <c r="N139" s="5"/>
      <c r="O139" s="8">
        <f>IF(B139="","",IF(AND(G139="Externe",J139&lt;&gt;"Oui"),"Annexer le rapport",IF(AND(K139="Oui",M139=""),"Suites à décider","Complet")))</f>
      </c>
    </row>
    <row r="140" spans="1:15" x14ac:dyDescent="0.25">
      <c r="A140" s="5">
        <v>136</v>
      </c>
      <c r="B140" s="6"/>
      <c r="C140" s="5"/>
      <c r="D140" s="5"/>
      <c r="E140" s="5"/>
      <c r="F140" s="5"/>
      <c r="G140" s="5"/>
      <c r="H140" s="5"/>
      <c r="I140" s="6"/>
      <c r="J140" s="5"/>
      <c r="K140" s="5"/>
      <c r="L140" s="7"/>
      <c r="M140" s="7"/>
      <c r="N140" s="5"/>
      <c r="O140" s="8">
        <f>IF(B140="","",IF(AND(G140="Externe",J140&lt;&gt;"Oui"),"Annexer le rapport",IF(AND(K140="Oui",M140=""),"Suites à décider","Complet")))</f>
      </c>
    </row>
    <row r="141" spans="1:15" x14ac:dyDescent="0.25">
      <c r="A141" s="5">
        <v>137</v>
      </c>
      <c r="B141" s="6"/>
      <c r="C141" s="5"/>
      <c r="D141" s="5"/>
      <c r="E141" s="5"/>
      <c r="F141" s="5"/>
      <c r="G141" s="5"/>
      <c r="H141" s="5"/>
      <c r="I141" s="6"/>
      <c r="J141" s="5"/>
      <c r="K141" s="5"/>
      <c r="L141" s="7"/>
      <c r="M141" s="7"/>
      <c r="N141" s="5"/>
      <c r="O141" s="8">
        <f>IF(B141="","",IF(AND(G141="Externe",J141&lt;&gt;"Oui"),"Annexer le rapport",IF(AND(K141="Oui",M141=""),"Suites à décider","Complet")))</f>
      </c>
    </row>
    <row r="142" spans="1:15" x14ac:dyDescent="0.25">
      <c r="A142" s="5">
        <v>138</v>
      </c>
      <c r="B142" s="6"/>
      <c r="C142" s="5"/>
      <c r="D142" s="5"/>
      <c r="E142" s="5"/>
      <c r="F142" s="5"/>
      <c r="G142" s="5"/>
      <c r="H142" s="5"/>
      <c r="I142" s="6"/>
      <c r="J142" s="5"/>
      <c r="K142" s="5"/>
      <c r="L142" s="7"/>
      <c r="M142" s="7"/>
      <c r="N142" s="5"/>
      <c r="O142" s="8">
        <f>IF(B142="","",IF(AND(G142="Externe",J142&lt;&gt;"Oui"),"Annexer le rapport",IF(AND(K142="Oui",M142=""),"Suites à décider","Complet")))</f>
      </c>
    </row>
    <row r="143" spans="1:15" x14ac:dyDescent="0.25">
      <c r="A143" s="5">
        <v>139</v>
      </c>
      <c r="B143" s="6"/>
      <c r="C143" s="5"/>
      <c r="D143" s="5"/>
      <c r="E143" s="5"/>
      <c r="F143" s="5"/>
      <c r="G143" s="5"/>
      <c r="H143" s="5"/>
      <c r="I143" s="6"/>
      <c r="J143" s="5"/>
      <c r="K143" s="5"/>
      <c r="L143" s="7"/>
      <c r="M143" s="7"/>
      <c r="N143" s="5"/>
      <c r="O143" s="8">
        <f>IF(B143="","",IF(AND(G143="Externe",J143&lt;&gt;"Oui"),"Annexer le rapport",IF(AND(K143="Oui",M143=""),"Suites à décider","Complet")))</f>
      </c>
    </row>
    <row r="144" spans="1:15" x14ac:dyDescent="0.25">
      <c r="A144" s="5">
        <v>140</v>
      </c>
      <c r="B144" s="6"/>
      <c r="C144" s="5"/>
      <c r="D144" s="5"/>
      <c r="E144" s="5"/>
      <c r="F144" s="5"/>
      <c r="G144" s="5"/>
      <c r="H144" s="5"/>
      <c r="I144" s="6"/>
      <c r="J144" s="5"/>
      <c r="K144" s="5"/>
      <c r="L144" s="7"/>
      <c r="M144" s="7"/>
      <c r="N144" s="5"/>
      <c r="O144" s="8">
        <f>IF(B144="","",IF(AND(G144="Externe",J144&lt;&gt;"Oui"),"Annexer le rapport",IF(AND(K144="Oui",M144=""),"Suites à décider","Complet")))</f>
      </c>
    </row>
    <row r="145" spans="1:15" x14ac:dyDescent="0.25">
      <c r="A145" s="5">
        <v>141</v>
      </c>
      <c r="B145" s="6"/>
      <c r="C145" s="5"/>
      <c r="D145" s="5"/>
      <c r="E145" s="5"/>
      <c r="F145" s="5"/>
      <c r="G145" s="5"/>
      <c r="H145" s="5"/>
      <c r="I145" s="6"/>
      <c r="J145" s="5"/>
      <c r="K145" s="5"/>
      <c r="L145" s="7"/>
      <c r="M145" s="7"/>
      <c r="N145" s="5"/>
      <c r="O145" s="8">
        <f>IF(B145="","",IF(AND(G145="Externe",J145&lt;&gt;"Oui"),"Annexer le rapport",IF(AND(K145="Oui",M145=""),"Suites à décider","Complet")))</f>
      </c>
    </row>
    <row r="146" spans="1:15" x14ac:dyDescent="0.25">
      <c r="A146" s="5">
        <v>142</v>
      </c>
      <c r="B146" s="6"/>
      <c r="C146" s="5"/>
      <c r="D146" s="5"/>
      <c r="E146" s="5"/>
      <c r="F146" s="5"/>
      <c r="G146" s="5"/>
      <c r="H146" s="5"/>
      <c r="I146" s="6"/>
      <c r="J146" s="5"/>
      <c r="K146" s="5"/>
      <c r="L146" s="7"/>
      <c r="M146" s="7"/>
      <c r="N146" s="5"/>
      <c r="O146" s="8">
        <f>IF(B146="","",IF(AND(G146="Externe",J146&lt;&gt;"Oui"),"Annexer le rapport",IF(AND(K146="Oui",M146=""),"Suites à décider","Complet")))</f>
      </c>
    </row>
    <row r="147" spans="1:15" x14ac:dyDescent="0.25">
      <c r="A147" s="5">
        <v>143</v>
      </c>
      <c r="B147" s="6"/>
      <c r="C147" s="5"/>
      <c r="D147" s="5"/>
      <c r="E147" s="5"/>
      <c r="F147" s="5"/>
      <c r="G147" s="5"/>
      <c r="H147" s="5"/>
      <c r="I147" s="6"/>
      <c r="J147" s="5"/>
      <c r="K147" s="5"/>
      <c r="L147" s="7"/>
      <c r="M147" s="7"/>
      <c r="N147" s="5"/>
      <c r="O147" s="8">
        <f>IF(B147="","",IF(AND(G147="Externe",J147&lt;&gt;"Oui"),"Annexer le rapport",IF(AND(K147="Oui",M147=""),"Suites à décider","Complet")))</f>
      </c>
    </row>
    <row r="148" spans="1:15" x14ac:dyDescent="0.25">
      <c r="A148" s="5">
        <v>144</v>
      </c>
      <c r="B148" s="6"/>
      <c r="C148" s="5"/>
      <c r="D148" s="5"/>
      <c r="E148" s="5"/>
      <c r="F148" s="5"/>
      <c r="G148" s="5"/>
      <c r="H148" s="5"/>
      <c r="I148" s="6"/>
      <c r="J148" s="5"/>
      <c r="K148" s="5"/>
      <c r="L148" s="7"/>
      <c r="M148" s="7"/>
      <c r="N148" s="5"/>
      <c r="O148" s="8">
        <f>IF(B148="","",IF(AND(G148="Externe",J148&lt;&gt;"Oui"),"Annexer le rapport",IF(AND(K148="Oui",M148=""),"Suites à décider","Complet")))</f>
      </c>
    </row>
    <row r="149" spans="1:15" x14ac:dyDescent="0.25">
      <c r="A149" s="5">
        <v>145</v>
      </c>
      <c r="B149" s="6"/>
      <c r="C149" s="5"/>
      <c r="D149" s="5"/>
      <c r="E149" s="5"/>
      <c r="F149" s="5"/>
      <c r="G149" s="5"/>
      <c r="H149" s="5"/>
      <c r="I149" s="6"/>
      <c r="J149" s="5"/>
      <c r="K149" s="5"/>
      <c r="L149" s="7"/>
      <c r="M149" s="7"/>
      <c r="N149" s="5"/>
      <c r="O149" s="8">
        <f>IF(B149="","",IF(AND(G149="Externe",J149&lt;&gt;"Oui"),"Annexer le rapport",IF(AND(K149="Oui",M149=""),"Suites à décider","Complet")))</f>
      </c>
    </row>
    <row r="150" spans="1:15" x14ac:dyDescent="0.25">
      <c r="A150" s="5">
        <v>146</v>
      </c>
      <c r="B150" s="6"/>
      <c r="C150" s="5"/>
      <c r="D150" s="5"/>
      <c r="E150" s="5"/>
      <c r="F150" s="5"/>
      <c r="G150" s="5"/>
      <c r="H150" s="5"/>
      <c r="I150" s="6"/>
      <c r="J150" s="5"/>
      <c r="K150" s="5"/>
      <c r="L150" s="7"/>
      <c r="M150" s="7"/>
      <c r="N150" s="5"/>
      <c r="O150" s="8">
        <f>IF(B150="","",IF(AND(G150="Externe",J150&lt;&gt;"Oui"),"Annexer le rapport",IF(AND(K150="Oui",M150=""),"Suites à décider","Complet")))</f>
      </c>
    </row>
    <row r="151" spans="1:15" x14ac:dyDescent="0.25">
      <c r="A151" s="5">
        <v>147</v>
      </c>
      <c r="B151" s="6"/>
      <c r="C151" s="5"/>
      <c r="D151" s="5"/>
      <c r="E151" s="5"/>
      <c r="F151" s="5"/>
      <c r="G151" s="5"/>
      <c r="H151" s="5"/>
      <c r="I151" s="6"/>
      <c r="J151" s="5"/>
      <c r="K151" s="5"/>
      <c r="L151" s="7"/>
      <c r="M151" s="7"/>
      <c r="N151" s="5"/>
      <c r="O151" s="8">
        <f>IF(B151="","",IF(AND(G151="Externe",J151&lt;&gt;"Oui"),"Annexer le rapport",IF(AND(K151="Oui",M151=""),"Suites à décider","Complet")))</f>
      </c>
    </row>
    <row r="152" spans="1:15" x14ac:dyDescent="0.25">
      <c r="A152" s="5">
        <v>148</v>
      </c>
      <c r="B152" s="6"/>
      <c r="C152" s="5"/>
      <c r="D152" s="5"/>
      <c r="E152" s="5"/>
      <c r="F152" s="5"/>
      <c r="G152" s="5"/>
      <c r="H152" s="5"/>
      <c r="I152" s="6"/>
      <c r="J152" s="5"/>
      <c r="K152" s="5"/>
      <c r="L152" s="7"/>
      <c r="M152" s="7"/>
      <c r="N152" s="5"/>
      <c r="O152" s="8">
        <f>IF(B152="","",IF(AND(G152="Externe",J152&lt;&gt;"Oui"),"Annexer le rapport",IF(AND(K152="Oui",M152=""),"Suites à décider","Complet")))</f>
      </c>
    </row>
    <row r="153" spans="1:15" x14ac:dyDescent="0.25">
      <c r="A153" s="5">
        <v>149</v>
      </c>
      <c r="B153" s="6"/>
      <c r="C153" s="5"/>
      <c r="D153" s="5"/>
      <c r="E153" s="5"/>
      <c r="F153" s="5"/>
      <c r="G153" s="5"/>
      <c r="H153" s="5"/>
      <c r="I153" s="6"/>
      <c r="J153" s="5"/>
      <c r="K153" s="5"/>
      <c r="L153" s="7"/>
      <c r="M153" s="7"/>
      <c r="N153" s="5"/>
      <c r="O153" s="8">
        <f>IF(B153="","",IF(AND(G153="Externe",J153&lt;&gt;"Oui"),"Annexer le rapport",IF(AND(K153="Oui",M153=""),"Suites à décider","Complet")))</f>
      </c>
    </row>
    <row r="154" spans="1:15" x14ac:dyDescent="0.25">
      <c r="A154" s="5">
        <v>150</v>
      </c>
      <c r="B154" s="6"/>
      <c r="C154" s="5"/>
      <c r="D154" s="5"/>
      <c r="E154" s="5"/>
      <c r="F154" s="5"/>
      <c r="G154" s="5"/>
      <c r="H154" s="5"/>
      <c r="I154" s="6"/>
      <c r="J154" s="5"/>
      <c r="K154" s="5"/>
      <c r="L154" s="7"/>
      <c r="M154" s="7"/>
      <c r="N154" s="5"/>
      <c r="O154" s="8">
        <f>IF(B154="","",IF(AND(G154="Externe",J154&lt;&gt;"Oui"),"Annexer le rapport",IF(AND(K154="Oui",M154=""),"Suites à décider","Complet")))</f>
      </c>
    </row>
    <row r="155" spans="1:15" x14ac:dyDescent="0.25">
      <c r="A155" s="5">
        <v>151</v>
      </c>
      <c r="B155" s="6"/>
      <c r="C155" s="5"/>
      <c r="D155" s="5"/>
      <c r="E155" s="5"/>
      <c r="F155" s="5"/>
      <c r="G155" s="5"/>
      <c r="H155" s="5"/>
      <c r="I155" s="6"/>
      <c r="J155" s="5"/>
      <c r="K155" s="5"/>
      <c r="L155" s="7"/>
      <c r="M155" s="7"/>
      <c r="N155" s="5"/>
      <c r="O155" s="8">
        <f>IF(B155="","",IF(AND(G155="Externe",J155&lt;&gt;"Oui"),"Annexer le rapport",IF(AND(K155="Oui",M155=""),"Suites à décider","Complet")))</f>
      </c>
    </row>
    <row r="156" spans="1:15" x14ac:dyDescent="0.25">
      <c r="A156" s="5">
        <v>152</v>
      </c>
      <c r="B156" s="6"/>
      <c r="C156" s="5"/>
      <c r="D156" s="5"/>
      <c r="E156" s="5"/>
      <c r="F156" s="5"/>
      <c r="G156" s="5"/>
      <c r="H156" s="5"/>
      <c r="I156" s="6"/>
      <c r="J156" s="5"/>
      <c r="K156" s="5"/>
      <c r="L156" s="7"/>
      <c r="M156" s="7"/>
      <c r="N156" s="5"/>
      <c r="O156" s="8">
        <f>IF(B156="","",IF(AND(G156="Externe",J156&lt;&gt;"Oui"),"Annexer le rapport",IF(AND(K156="Oui",M156=""),"Suites à décider","Complet")))</f>
      </c>
    </row>
    <row r="157" spans="1:15" x14ac:dyDescent="0.25">
      <c r="A157" s="5">
        <v>153</v>
      </c>
      <c r="B157" s="6"/>
      <c r="C157" s="5"/>
      <c r="D157" s="5"/>
      <c r="E157" s="5"/>
      <c r="F157" s="5"/>
      <c r="G157" s="5"/>
      <c r="H157" s="5"/>
      <c r="I157" s="6"/>
      <c r="J157" s="5"/>
      <c r="K157" s="5"/>
      <c r="L157" s="7"/>
      <c r="M157" s="7"/>
      <c r="N157" s="5"/>
      <c r="O157" s="8">
        <f>IF(B157="","",IF(AND(G157="Externe",J157&lt;&gt;"Oui"),"Annexer le rapport",IF(AND(K157="Oui",M157=""),"Suites à décider","Complet")))</f>
      </c>
    </row>
    <row r="158" spans="1:15" x14ac:dyDescent="0.25">
      <c r="A158" s="5">
        <v>154</v>
      </c>
      <c r="B158" s="6"/>
      <c r="C158" s="5"/>
      <c r="D158" s="5"/>
      <c r="E158" s="5"/>
      <c r="F158" s="5"/>
      <c r="G158" s="5"/>
      <c r="H158" s="5"/>
      <c r="I158" s="6"/>
      <c r="J158" s="5"/>
      <c r="K158" s="5"/>
      <c r="L158" s="7"/>
      <c r="M158" s="7"/>
      <c r="N158" s="5"/>
      <c r="O158" s="8">
        <f>IF(B158="","",IF(AND(G158="Externe",J158&lt;&gt;"Oui"),"Annexer le rapport",IF(AND(K158="Oui",M158=""),"Suites à décider","Complet")))</f>
      </c>
    </row>
    <row r="159" spans="1:15" x14ac:dyDescent="0.25">
      <c r="A159" s="5">
        <v>155</v>
      </c>
      <c r="B159" s="6"/>
      <c r="C159" s="5"/>
      <c r="D159" s="5"/>
      <c r="E159" s="5"/>
      <c r="F159" s="5"/>
      <c r="G159" s="5"/>
      <c r="H159" s="5"/>
      <c r="I159" s="6"/>
      <c r="J159" s="5"/>
      <c r="K159" s="5"/>
      <c r="L159" s="7"/>
      <c r="M159" s="7"/>
      <c r="N159" s="5"/>
      <c r="O159" s="8">
        <f>IF(B159="","",IF(AND(G159="Externe",J159&lt;&gt;"Oui"),"Annexer le rapport",IF(AND(K159="Oui",M159=""),"Suites à décider","Complet")))</f>
      </c>
    </row>
    <row r="160" spans="1:15" x14ac:dyDescent="0.25">
      <c r="A160" s="5">
        <v>156</v>
      </c>
      <c r="B160" s="6"/>
      <c r="C160" s="5"/>
      <c r="D160" s="5"/>
      <c r="E160" s="5"/>
      <c r="F160" s="5"/>
      <c r="G160" s="5"/>
      <c r="H160" s="5"/>
      <c r="I160" s="6"/>
      <c r="J160" s="5"/>
      <c r="K160" s="5"/>
      <c r="L160" s="7"/>
      <c r="M160" s="7"/>
      <c r="N160" s="5"/>
      <c r="O160" s="8">
        <f>IF(B160="","",IF(AND(G160="Externe",J160&lt;&gt;"Oui"),"Annexer le rapport",IF(AND(K160="Oui",M160=""),"Suites à décider","Complet")))</f>
      </c>
    </row>
    <row r="161" spans="1:15" x14ac:dyDescent="0.25">
      <c r="A161" s="5">
        <v>157</v>
      </c>
      <c r="B161" s="6"/>
      <c r="C161" s="5"/>
      <c r="D161" s="5"/>
      <c r="E161" s="5"/>
      <c r="F161" s="5"/>
      <c r="G161" s="5"/>
      <c r="H161" s="5"/>
      <c r="I161" s="6"/>
      <c r="J161" s="5"/>
      <c r="K161" s="5"/>
      <c r="L161" s="7"/>
      <c r="M161" s="7"/>
      <c r="N161" s="5"/>
      <c r="O161" s="8">
        <f>IF(B161="","",IF(AND(G161="Externe",J161&lt;&gt;"Oui"),"Annexer le rapport",IF(AND(K161="Oui",M161=""),"Suites à décider","Complet")))</f>
      </c>
    </row>
    <row r="162" spans="1:15" x14ac:dyDescent="0.25">
      <c r="A162" s="5">
        <v>158</v>
      </c>
      <c r="B162" s="6"/>
      <c r="C162" s="5"/>
      <c r="D162" s="5"/>
      <c r="E162" s="5"/>
      <c r="F162" s="5"/>
      <c r="G162" s="5"/>
      <c r="H162" s="5"/>
      <c r="I162" s="6"/>
      <c r="J162" s="5"/>
      <c r="K162" s="5"/>
      <c r="L162" s="7"/>
      <c r="M162" s="7"/>
      <c r="N162" s="5"/>
      <c r="O162" s="8">
        <f>IF(B162="","",IF(AND(G162="Externe",J162&lt;&gt;"Oui"),"Annexer le rapport",IF(AND(K162="Oui",M162=""),"Suites à décider","Complet")))</f>
      </c>
    </row>
    <row r="163" spans="1:15" x14ac:dyDescent="0.25">
      <c r="A163" s="5">
        <v>159</v>
      </c>
      <c r="B163" s="6"/>
      <c r="C163" s="5"/>
      <c r="D163" s="5"/>
      <c r="E163" s="5"/>
      <c r="F163" s="5"/>
      <c r="G163" s="5"/>
      <c r="H163" s="5"/>
      <c r="I163" s="6"/>
      <c r="J163" s="5"/>
      <c r="K163" s="5"/>
      <c r="L163" s="7"/>
      <c r="M163" s="7"/>
      <c r="N163" s="5"/>
      <c r="O163" s="8">
        <f>IF(B163="","",IF(AND(G163="Externe",J163&lt;&gt;"Oui"),"Annexer le rapport",IF(AND(K163="Oui",M163=""),"Suites à décider","Complet")))</f>
      </c>
    </row>
    <row r="164" spans="1:15" x14ac:dyDescent="0.25">
      <c r="A164" s="5">
        <v>160</v>
      </c>
      <c r="B164" s="6"/>
      <c r="C164" s="5"/>
      <c r="D164" s="5"/>
      <c r="E164" s="5"/>
      <c r="F164" s="5"/>
      <c r="G164" s="5"/>
      <c r="H164" s="5"/>
      <c r="I164" s="6"/>
      <c r="J164" s="5"/>
      <c r="K164" s="5"/>
      <c r="L164" s="7"/>
      <c r="M164" s="7"/>
      <c r="N164" s="5"/>
      <c r="O164" s="8">
        <f>IF(B164="","",IF(AND(G164="Externe",J164&lt;&gt;"Oui"),"Annexer le rapport",IF(AND(K164="Oui",M164=""),"Suites à décider","Complet")))</f>
      </c>
    </row>
    <row r="165" spans="1:15" x14ac:dyDescent="0.25">
      <c r="A165" s="5">
        <v>161</v>
      </c>
      <c r="B165" s="6"/>
      <c r="C165" s="5"/>
      <c r="D165" s="5"/>
      <c r="E165" s="5"/>
      <c r="F165" s="5"/>
      <c r="G165" s="5"/>
      <c r="H165" s="5"/>
      <c r="I165" s="6"/>
      <c r="J165" s="5"/>
      <c r="K165" s="5"/>
      <c r="L165" s="7"/>
      <c r="M165" s="7"/>
      <c r="N165" s="5"/>
      <c r="O165" s="8">
        <f>IF(B165="","",IF(AND(G165="Externe",J165&lt;&gt;"Oui"),"Annexer le rapport",IF(AND(K165="Oui",M165=""),"Suites à décider","Complet")))</f>
      </c>
    </row>
    <row r="166" spans="1:15" x14ac:dyDescent="0.25">
      <c r="A166" s="5">
        <v>162</v>
      </c>
      <c r="B166" s="6"/>
      <c r="C166" s="5"/>
      <c r="D166" s="5"/>
      <c r="E166" s="5"/>
      <c r="F166" s="5"/>
      <c r="G166" s="5"/>
      <c r="H166" s="5"/>
      <c r="I166" s="6"/>
      <c r="J166" s="5"/>
      <c r="K166" s="5"/>
      <c r="L166" s="7"/>
      <c r="M166" s="7"/>
      <c r="N166" s="5"/>
      <c r="O166" s="8">
        <f>IF(B166="","",IF(AND(G166="Externe",J166&lt;&gt;"Oui"),"Annexer le rapport",IF(AND(K166="Oui",M166=""),"Suites à décider","Complet")))</f>
      </c>
    </row>
    <row r="167" spans="1:15" x14ac:dyDescent="0.25">
      <c r="A167" s="5">
        <v>163</v>
      </c>
      <c r="B167" s="6"/>
      <c r="C167" s="5"/>
      <c r="D167" s="5"/>
      <c r="E167" s="5"/>
      <c r="F167" s="5"/>
      <c r="G167" s="5"/>
      <c r="H167" s="5"/>
      <c r="I167" s="6"/>
      <c r="J167" s="5"/>
      <c r="K167" s="5"/>
      <c r="L167" s="7"/>
      <c r="M167" s="7"/>
      <c r="N167" s="5"/>
      <c r="O167" s="8">
        <f>IF(B167="","",IF(AND(G167="Externe",J167&lt;&gt;"Oui"),"Annexer le rapport",IF(AND(K167="Oui",M167=""),"Suites à décider","Complet")))</f>
      </c>
    </row>
    <row r="168" spans="1:15" x14ac:dyDescent="0.25">
      <c r="A168" s="5">
        <v>164</v>
      </c>
      <c r="B168" s="6"/>
      <c r="C168" s="5"/>
      <c r="D168" s="5"/>
      <c r="E168" s="5"/>
      <c r="F168" s="5"/>
      <c r="G168" s="5"/>
      <c r="H168" s="5"/>
      <c r="I168" s="6"/>
      <c r="J168" s="5"/>
      <c r="K168" s="5"/>
      <c r="L168" s="7"/>
      <c r="M168" s="7"/>
      <c r="N168" s="5"/>
      <c r="O168" s="8">
        <f>IF(B168="","",IF(AND(G168="Externe",J168&lt;&gt;"Oui"),"Annexer le rapport",IF(AND(K168="Oui",M168=""),"Suites à décider","Complet")))</f>
      </c>
    </row>
    <row r="169" spans="1:15" x14ac:dyDescent="0.25">
      <c r="A169" s="5">
        <v>165</v>
      </c>
      <c r="B169" s="6"/>
      <c r="C169" s="5"/>
      <c r="D169" s="5"/>
      <c r="E169" s="5"/>
      <c r="F169" s="5"/>
      <c r="G169" s="5"/>
      <c r="H169" s="5"/>
      <c r="I169" s="6"/>
      <c r="J169" s="5"/>
      <c r="K169" s="5"/>
      <c r="L169" s="7"/>
      <c r="M169" s="7"/>
      <c r="N169" s="5"/>
      <c r="O169" s="8">
        <f>IF(B169="","",IF(AND(G169="Externe",J169&lt;&gt;"Oui"),"Annexer le rapport",IF(AND(K169="Oui",M169=""),"Suites à décider","Complet")))</f>
      </c>
    </row>
    <row r="170" spans="1:15" x14ac:dyDescent="0.25">
      <c r="A170" s="5">
        <v>166</v>
      </c>
      <c r="B170" s="6"/>
      <c r="C170" s="5"/>
      <c r="D170" s="5"/>
      <c r="E170" s="5"/>
      <c r="F170" s="5"/>
      <c r="G170" s="5"/>
      <c r="H170" s="5"/>
      <c r="I170" s="6"/>
      <c r="J170" s="5"/>
      <c r="K170" s="5"/>
      <c r="L170" s="7"/>
      <c r="M170" s="7"/>
      <c r="N170" s="5"/>
      <c r="O170" s="8">
        <f>IF(B170="","",IF(AND(G170="Externe",J170&lt;&gt;"Oui"),"Annexer le rapport",IF(AND(K170="Oui",M170=""),"Suites à décider","Complet")))</f>
      </c>
    </row>
    <row r="171" spans="1:15" x14ac:dyDescent="0.25">
      <c r="A171" s="5">
        <v>167</v>
      </c>
      <c r="B171" s="6"/>
      <c r="C171" s="5"/>
      <c r="D171" s="5"/>
      <c r="E171" s="5"/>
      <c r="F171" s="5"/>
      <c r="G171" s="5"/>
      <c r="H171" s="5"/>
      <c r="I171" s="6"/>
      <c r="J171" s="5"/>
      <c r="K171" s="5"/>
      <c r="L171" s="7"/>
      <c r="M171" s="7"/>
      <c r="N171" s="5"/>
      <c r="O171" s="8">
        <f>IF(B171="","",IF(AND(G171="Externe",J171&lt;&gt;"Oui"),"Annexer le rapport",IF(AND(K171="Oui",M171=""),"Suites à décider","Complet")))</f>
      </c>
    </row>
    <row r="172" spans="1:15" x14ac:dyDescent="0.25">
      <c r="A172" s="5">
        <v>168</v>
      </c>
      <c r="B172" s="6"/>
      <c r="C172" s="5"/>
      <c r="D172" s="5"/>
      <c r="E172" s="5"/>
      <c r="F172" s="5"/>
      <c r="G172" s="5"/>
      <c r="H172" s="5"/>
      <c r="I172" s="6"/>
      <c r="J172" s="5"/>
      <c r="K172" s="5"/>
      <c r="L172" s="7"/>
      <c r="M172" s="7"/>
      <c r="N172" s="5"/>
      <c r="O172" s="8">
        <f>IF(B172="","",IF(AND(G172="Externe",J172&lt;&gt;"Oui"),"Annexer le rapport",IF(AND(K172="Oui",M172=""),"Suites à décider","Complet")))</f>
      </c>
    </row>
    <row r="173" spans="1:15" x14ac:dyDescent="0.25">
      <c r="A173" s="5">
        <v>169</v>
      </c>
      <c r="B173" s="6"/>
      <c r="C173" s="5"/>
      <c r="D173" s="5"/>
      <c r="E173" s="5"/>
      <c r="F173" s="5"/>
      <c r="G173" s="5"/>
      <c r="H173" s="5"/>
      <c r="I173" s="6"/>
      <c r="J173" s="5"/>
      <c r="K173" s="5"/>
      <c r="L173" s="7"/>
      <c r="M173" s="7"/>
      <c r="N173" s="5"/>
      <c r="O173" s="8">
        <f>IF(B173="","",IF(AND(G173="Externe",J173&lt;&gt;"Oui"),"Annexer le rapport",IF(AND(K173="Oui",M173=""),"Suites à décider","Complet")))</f>
      </c>
    </row>
    <row r="174" spans="1:15" x14ac:dyDescent="0.25">
      <c r="A174" s="5">
        <v>170</v>
      </c>
      <c r="B174" s="6"/>
      <c r="C174" s="5"/>
      <c r="D174" s="5"/>
      <c r="E174" s="5"/>
      <c r="F174" s="5"/>
      <c r="G174" s="5"/>
      <c r="H174" s="5"/>
      <c r="I174" s="6"/>
      <c r="J174" s="5"/>
      <c r="K174" s="5"/>
      <c r="L174" s="7"/>
      <c r="M174" s="7"/>
      <c r="N174" s="5"/>
      <c r="O174" s="8">
        <f>IF(B174="","",IF(AND(G174="Externe",J174&lt;&gt;"Oui"),"Annexer le rapport",IF(AND(K174="Oui",M174=""),"Suites à décider","Complet")))</f>
      </c>
    </row>
    <row r="175" spans="1:15" x14ac:dyDescent="0.25">
      <c r="A175" s="5">
        <v>171</v>
      </c>
      <c r="B175" s="6"/>
      <c r="C175" s="5"/>
      <c r="D175" s="5"/>
      <c r="E175" s="5"/>
      <c r="F175" s="5"/>
      <c r="G175" s="5"/>
      <c r="H175" s="5"/>
      <c r="I175" s="6"/>
      <c r="J175" s="5"/>
      <c r="K175" s="5"/>
      <c r="L175" s="7"/>
      <c r="M175" s="7"/>
      <c r="N175" s="5"/>
      <c r="O175" s="8">
        <f>IF(B175="","",IF(AND(G175="Externe",J175&lt;&gt;"Oui"),"Annexer le rapport",IF(AND(K175="Oui",M175=""),"Suites à décider","Complet")))</f>
      </c>
    </row>
    <row r="176" spans="1:15" x14ac:dyDescent="0.25">
      <c r="A176" s="5">
        <v>172</v>
      </c>
      <c r="B176" s="6"/>
      <c r="C176" s="5"/>
      <c r="D176" s="5"/>
      <c r="E176" s="5"/>
      <c r="F176" s="5"/>
      <c r="G176" s="5"/>
      <c r="H176" s="5"/>
      <c r="I176" s="6"/>
      <c r="J176" s="5"/>
      <c r="K176" s="5"/>
      <c r="L176" s="7"/>
      <c r="M176" s="7"/>
      <c r="N176" s="5"/>
      <c r="O176" s="8">
        <f>IF(B176="","",IF(AND(G176="Externe",J176&lt;&gt;"Oui"),"Annexer le rapport",IF(AND(K176="Oui",M176=""),"Suites à décider","Complet")))</f>
      </c>
    </row>
    <row r="177" spans="1:15" x14ac:dyDescent="0.25">
      <c r="A177" s="5">
        <v>173</v>
      </c>
      <c r="B177" s="6"/>
      <c r="C177" s="5"/>
      <c r="D177" s="5"/>
      <c r="E177" s="5"/>
      <c r="F177" s="5"/>
      <c r="G177" s="5"/>
      <c r="H177" s="5"/>
      <c r="I177" s="6"/>
      <c r="J177" s="5"/>
      <c r="K177" s="5"/>
      <c r="L177" s="7"/>
      <c r="M177" s="7"/>
      <c r="N177" s="5"/>
      <c r="O177" s="8">
        <f>IF(B177="","",IF(AND(G177="Externe",J177&lt;&gt;"Oui"),"Annexer le rapport",IF(AND(K177="Oui",M177=""),"Suites à décider","Complet")))</f>
      </c>
    </row>
    <row r="178" spans="1:15" x14ac:dyDescent="0.25">
      <c r="A178" s="5">
        <v>174</v>
      </c>
      <c r="B178" s="6"/>
      <c r="C178" s="5"/>
      <c r="D178" s="5"/>
      <c r="E178" s="5"/>
      <c r="F178" s="5"/>
      <c r="G178" s="5"/>
      <c r="H178" s="5"/>
      <c r="I178" s="6"/>
      <c r="J178" s="5"/>
      <c r="K178" s="5"/>
      <c r="L178" s="7"/>
      <c r="M178" s="7"/>
      <c r="N178" s="5"/>
      <c r="O178" s="8">
        <f>IF(B178="","",IF(AND(G178="Externe",J178&lt;&gt;"Oui"),"Annexer le rapport",IF(AND(K178="Oui",M178=""),"Suites à décider","Complet")))</f>
      </c>
    </row>
    <row r="179" spans="1:15" x14ac:dyDescent="0.25">
      <c r="A179" s="5">
        <v>175</v>
      </c>
      <c r="B179" s="6"/>
      <c r="C179" s="5"/>
      <c r="D179" s="5"/>
      <c r="E179" s="5"/>
      <c r="F179" s="5"/>
      <c r="G179" s="5"/>
      <c r="H179" s="5"/>
      <c r="I179" s="6"/>
      <c r="J179" s="5"/>
      <c r="K179" s="5"/>
      <c r="L179" s="7"/>
      <c r="M179" s="7"/>
      <c r="N179" s="5"/>
      <c r="O179" s="8">
        <f>IF(B179="","",IF(AND(G179="Externe",J179&lt;&gt;"Oui"),"Annexer le rapport",IF(AND(K179="Oui",M179=""),"Suites à décider","Complet")))</f>
      </c>
    </row>
    <row r="180" spans="1:15" x14ac:dyDescent="0.25">
      <c r="A180" s="5">
        <v>176</v>
      </c>
      <c r="B180" s="6"/>
      <c r="C180" s="5"/>
      <c r="D180" s="5"/>
      <c r="E180" s="5"/>
      <c r="F180" s="5"/>
      <c r="G180" s="5"/>
      <c r="H180" s="5"/>
      <c r="I180" s="6"/>
      <c r="J180" s="5"/>
      <c r="K180" s="5"/>
      <c r="L180" s="7"/>
      <c r="M180" s="7"/>
      <c r="N180" s="5"/>
      <c r="O180" s="8">
        <f>IF(B180="","",IF(AND(G180="Externe",J180&lt;&gt;"Oui"),"Annexer le rapport",IF(AND(K180="Oui",M180=""),"Suites à décider","Complet")))</f>
      </c>
    </row>
    <row r="181" spans="1:15" x14ac:dyDescent="0.25">
      <c r="A181" s="5">
        <v>177</v>
      </c>
      <c r="B181" s="6"/>
      <c r="C181" s="5"/>
      <c r="D181" s="5"/>
      <c r="E181" s="5"/>
      <c r="F181" s="5"/>
      <c r="G181" s="5"/>
      <c r="H181" s="5"/>
      <c r="I181" s="6"/>
      <c r="J181" s="5"/>
      <c r="K181" s="5"/>
      <c r="L181" s="7"/>
      <c r="M181" s="7"/>
      <c r="N181" s="5"/>
      <c r="O181" s="8">
        <f>IF(B181="","",IF(AND(G181="Externe",J181&lt;&gt;"Oui"),"Annexer le rapport",IF(AND(K181="Oui",M181=""),"Suites à décider","Complet")))</f>
      </c>
    </row>
    <row r="182" spans="1:15" x14ac:dyDescent="0.25">
      <c r="A182" s="5">
        <v>178</v>
      </c>
      <c r="B182" s="6"/>
      <c r="C182" s="5"/>
      <c r="D182" s="5"/>
      <c r="E182" s="5"/>
      <c r="F182" s="5"/>
      <c r="G182" s="5"/>
      <c r="H182" s="5"/>
      <c r="I182" s="6"/>
      <c r="J182" s="5"/>
      <c r="K182" s="5"/>
      <c r="L182" s="7"/>
      <c r="M182" s="7"/>
      <c r="N182" s="5"/>
      <c r="O182" s="8">
        <f>IF(B182="","",IF(AND(G182="Externe",J182&lt;&gt;"Oui"),"Annexer le rapport",IF(AND(K182="Oui",M182=""),"Suites à décider","Complet")))</f>
      </c>
    </row>
    <row r="183" spans="1:15" x14ac:dyDescent="0.25">
      <c r="A183" s="5">
        <v>179</v>
      </c>
      <c r="B183" s="6"/>
      <c r="C183" s="5"/>
      <c r="D183" s="5"/>
      <c r="E183" s="5"/>
      <c r="F183" s="5"/>
      <c r="G183" s="5"/>
      <c r="H183" s="5"/>
      <c r="I183" s="6"/>
      <c r="J183" s="5"/>
      <c r="K183" s="5"/>
      <c r="L183" s="7"/>
      <c r="M183" s="7"/>
      <c r="N183" s="5"/>
      <c r="O183" s="8">
        <f>IF(B183="","",IF(AND(G183="Externe",J183&lt;&gt;"Oui"),"Annexer le rapport",IF(AND(K183="Oui",M183=""),"Suites à décider","Complet")))</f>
      </c>
    </row>
    <row r="184" spans="1:15" x14ac:dyDescent="0.25">
      <c r="A184" s="5">
        <v>180</v>
      </c>
      <c r="B184" s="6"/>
      <c r="C184" s="5"/>
      <c r="D184" s="5"/>
      <c r="E184" s="5"/>
      <c r="F184" s="5"/>
      <c r="G184" s="5"/>
      <c r="H184" s="5"/>
      <c r="I184" s="6"/>
      <c r="J184" s="5"/>
      <c r="K184" s="5"/>
      <c r="L184" s="7"/>
      <c r="M184" s="7"/>
      <c r="N184" s="5"/>
      <c r="O184" s="8">
        <f>IF(B184="","",IF(AND(G184="Externe",J184&lt;&gt;"Oui"),"Annexer le rapport",IF(AND(K184="Oui",M184=""),"Suites à décider","Complet")))</f>
      </c>
    </row>
    <row r="185" spans="1:15" x14ac:dyDescent="0.25">
      <c r="A185" s="5">
        <v>181</v>
      </c>
      <c r="B185" s="6"/>
      <c r="C185" s="5"/>
      <c r="D185" s="5"/>
      <c r="E185" s="5"/>
      <c r="F185" s="5"/>
      <c r="G185" s="5"/>
      <c r="H185" s="5"/>
      <c r="I185" s="6"/>
      <c r="J185" s="5"/>
      <c r="K185" s="5"/>
      <c r="L185" s="7"/>
      <c r="M185" s="7"/>
      <c r="N185" s="5"/>
      <c r="O185" s="8">
        <f>IF(B185="","",IF(AND(G185="Externe",J185&lt;&gt;"Oui"),"Annexer le rapport",IF(AND(K185="Oui",M185=""),"Suites à décider","Complet")))</f>
      </c>
    </row>
    <row r="186" spans="1:15" x14ac:dyDescent="0.25">
      <c r="A186" s="5">
        <v>182</v>
      </c>
      <c r="B186" s="6"/>
      <c r="C186" s="5"/>
      <c r="D186" s="5"/>
      <c r="E186" s="5"/>
      <c r="F186" s="5"/>
      <c r="G186" s="5"/>
      <c r="H186" s="5"/>
      <c r="I186" s="6"/>
      <c r="J186" s="5"/>
      <c r="K186" s="5"/>
      <c r="L186" s="7"/>
      <c r="M186" s="7"/>
      <c r="N186" s="5"/>
      <c r="O186" s="8">
        <f>IF(B186="","",IF(AND(G186="Externe",J186&lt;&gt;"Oui"),"Annexer le rapport",IF(AND(K186="Oui",M186=""),"Suites à décider","Complet")))</f>
      </c>
    </row>
    <row r="187" spans="1:15" x14ac:dyDescent="0.25">
      <c r="A187" s="5">
        <v>183</v>
      </c>
      <c r="B187" s="6"/>
      <c r="C187" s="5"/>
      <c r="D187" s="5"/>
      <c r="E187" s="5"/>
      <c r="F187" s="5"/>
      <c r="G187" s="5"/>
      <c r="H187" s="5"/>
      <c r="I187" s="6"/>
      <c r="J187" s="5"/>
      <c r="K187" s="5"/>
      <c r="L187" s="7"/>
      <c r="M187" s="7"/>
      <c r="N187" s="5"/>
      <c r="O187" s="8">
        <f>IF(B187="","",IF(AND(G187="Externe",J187&lt;&gt;"Oui"),"Annexer le rapport",IF(AND(K187="Oui",M187=""),"Suites à décider","Complet")))</f>
      </c>
    </row>
    <row r="188" spans="1:15" x14ac:dyDescent="0.25">
      <c r="A188" s="5">
        <v>184</v>
      </c>
      <c r="B188" s="6"/>
      <c r="C188" s="5"/>
      <c r="D188" s="5"/>
      <c r="E188" s="5"/>
      <c r="F188" s="5"/>
      <c r="G188" s="5"/>
      <c r="H188" s="5"/>
      <c r="I188" s="6"/>
      <c r="J188" s="5"/>
      <c r="K188" s="5"/>
      <c r="L188" s="7"/>
      <c r="M188" s="7"/>
      <c r="N188" s="5"/>
      <c r="O188" s="8">
        <f>IF(B188="","",IF(AND(G188="Externe",J188&lt;&gt;"Oui"),"Annexer le rapport",IF(AND(K188="Oui",M188=""),"Suites à décider","Complet")))</f>
      </c>
    </row>
    <row r="189" spans="1:15" x14ac:dyDescent="0.25">
      <c r="A189" s="5">
        <v>185</v>
      </c>
      <c r="B189" s="6"/>
      <c r="C189" s="5"/>
      <c r="D189" s="5"/>
      <c r="E189" s="5"/>
      <c r="F189" s="5"/>
      <c r="G189" s="5"/>
      <c r="H189" s="5"/>
      <c r="I189" s="6"/>
      <c r="J189" s="5"/>
      <c r="K189" s="5"/>
      <c r="L189" s="7"/>
      <c r="M189" s="7"/>
      <c r="N189" s="5"/>
      <c r="O189" s="8">
        <f>IF(B189="","",IF(AND(G189="Externe",J189&lt;&gt;"Oui"),"Annexer le rapport",IF(AND(K189="Oui",M189=""),"Suites à décider","Complet")))</f>
      </c>
    </row>
    <row r="190" spans="1:15" x14ac:dyDescent="0.25">
      <c r="A190" s="5">
        <v>186</v>
      </c>
      <c r="B190" s="6"/>
      <c r="C190" s="5"/>
      <c r="D190" s="5"/>
      <c r="E190" s="5"/>
      <c r="F190" s="5"/>
      <c r="G190" s="5"/>
      <c r="H190" s="5"/>
      <c r="I190" s="6"/>
      <c r="J190" s="5"/>
      <c r="K190" s="5"/>
      <c r="L190" s="7"/>
      <c r="M190" s="7"/>
      <c r="N190" s="5"/>
      <c r="O190" s="8">
        <f>IF(B190="","",IF(AND(G190="Externe",J190&lt;&gt;"Oui"),"Annexer le rapport",IF(AND(K190="Oui",M190=""),"Suites à décider","Complet")))</f>
      </c>
    </row>
    <row r="191" spans="1:15" x14ac:dyDescent="0.25">
      <c r="A191" s="5">
        <v>187</v>
      </c>
      <c r="B191" s="6"/>
      <c r="C191" s="5"/>
      <c r="D191" s="5"/>
      <c r="E191" s="5"/>
      <c r="F191" s="5"/>
      <c r="G191" s="5"/>
      <c r="H191" s="5"/>
      <c r="I191" s="6"/>
      <c r="J191" s="5"/>
      <c r="K191" s="5"/>
      <c r="L191" s="7"/>
      <c r="M191" s="7"/>
      <c r="N191" s="5"/>
      <c r="O191" s="8">
        <f>IF(B191="","",IF(AND(G191="Externe",J191&lt;&gt;"Oui"),"Annexer le rapport",IF(AND(K191="Oui",M191=""),"Suites à décider","Complet")))</f>
      </c>
    </row>
    <row r="192" spans="1:15" x14ac:dyDescent="0.25">
      <c r="A192" s="5">
        <v>188</v>
      </c>
      <c r="B192" s="6"/>
      <c r="C192" s="5"/>
      <c r="D192" s="5"/>
      <c r="E192" s="5"/>
      <c r="F192" s="5"/>
      <c r="G192" s="5"/>
      <c r="H192" s="5"/>
      <c r="I192" s="6"/>
      <c r="J192" s="5"/>
      <c r="K192" s="5"/>
      <c r="L192" s="7"/>
      <c r="M192" s="7"/>
      <c r="N192" s="5"/>
      <c r="O192" s="8">
        <f>IF(B192="","",IF(AND(G192="Externe",J192&lt;&gt;"Oui"),"Annexer le rapport",IF(AND(K192="Oui",M192=""),"Suites à décider","Complet")))</f>
      </c>
    </row>
    <row r="193" spans="1:15" x14ac:dyDescent="0.25">
      <c r="A193" s="5">
        <v>189</v>
      </c>
      <c r="B193" s="6"/>
      <c r="C193" s="5"/>
      <c r="D193" s="5"/>
      <c r="E193" s="5"/>
      <c r="F193" s="5"/>
      <c r="G193" s="5"/>
      <c r="H193" s="5"/>
      <c r="I193" s="6"/>
      <c r="J193" s="5"/>
      <c r="K193" s="5"/>
      <c r="L193" s="7"/>
      <c r="M193" s="7"/>
      <c r="N193" s="5"/>
      <c r="O193" s="8">
        <f>IF(B193="","",IF(AND(G193="Externe",J193&lt;&gt;"Oui"),"Annexer le rapport",IF(AND(K193="Oui",M193=""),"Suites à décider","Complet")))</f>
      </c>
    </row>
    <row r="194" spans="1:15" x14ac:dyDescent="0.25">
      <c r="A194" s="5">
        <v>190</v>
      </c>
      <c r="B194" s="6"/>
      <c r="C194" s="5"/>
      <c r="D194" s="5"/>
      <c r="E194" s="5"/>
      <c r="F194" s="5"/>
      <c r="G194" s="5"/>
      <c r="H194" s="5"/>
      <c r="I194" s="6"/>
      <c r="J194" s="5"/>
      <c r="K194" s="5"/>
      <c r="L194" s="7"/>
      <c r="M194" s="7"/>
      <c r="N194" s="5"/>
      <c r="O194" s="8">
        <f>IF(B194="","",IF(AND(G194="Externe",J194&lt;&gt;"Oui"),"Annexer le rapport",IF(AND(K194="Oui",M194=""),"Suites à décider","Complet")))</f>
      </c>
    </row>
    <row r="195" spans="1:15" x14ac:dyDescent="0.25">
      <c r="A195" s="5">
        <v>191</v>
      </c>
      <c r="B195" s="6"/>
      <c r="C195" s="5"/>
      <c r="D195" s="5"/>
      <c r="E195" s="5"/>
      <c r="F195" s="5"/>
      <c r="G195" s="5"/>
      <c r="H195" s="5"/>
      <c r="I195" s="6"/>
      <c r="J195" s="5"/>
      <c r="K195" s="5"/>
      <c r="L195" s="7"/>
      <c r="M195" s="7"/>
      <c r="N195" s="5"/>
      <c r="O195" s="8">
        <f>IF(B195="","",IF(AND(G195="Externe",J195&lt;&gt;"Oui"),"Annexer le rapport",IF(AND(K195="Oui",M195=""),"Suites à décider","Complet")))</f>
      </c>
    </row>
    <row r="196" spans="1:15" x14ac:dyDescent="0.25">
      <c r="A196" s="5">
        <v>192</v>
      </c>
      <c r="B196" s="6"/>
      <c r="C196" s="5"/>
      <c r="D196" s="5"/>
      <c r="E196" s="5"/>
      <c r="F196" s="5"/>
      <c r="G196" s="5"/>
      <c r="H196" s="5"/>
      <c r="I196" s="6"/>
      <c r="J196" s="5"/>
      <c r="K196" s="5"/>
      <c r="L196" s="7"/>
      <c r="M196" s="7"/>
      <c r="N196" s="5"/>
      <c r="O196" s="8">
        <f>IF(B196="","",IF(AND(G196="Externe",J196&lt;&gt;"Oui"),"Annexer le rapport",IF(AND(K196="Oui",M196=""),"Suites à décider","Complet")))</f>
      </c>
    </row>
    <row r="197" spans="1:15" x14ac:dyDescent="0.25">
      <c r="A197" s="5">
        <v>193</v>
      </c>
      <c r="B197" s="6"/>
      <c r="C197" s="5"/>
      <c r="D197" s="5"/>
      <c r="E197" s="5"/>
      <c r="F197" s="5"/>
      <c r="G197" s="5"/>
      <c r="H197" s="5"/>
      <c r="I197" s="6"/>
      <c r="J197" s="5"/>
      <c r="K197" s="5"/>
      <c r="L197" s="7"/>
      <c r="M197" s="7"/>
      <c r="N197" s="5"/>
      <c r="O197" s="8">
        <f>IF(B197="","",IF(AND(G197="Externe",J197&lt;&gt;"Oui"),"Annexer le rapport",IF(AND(K197="Oui",M197=""),"Suites à décider","Complet")))</f>
      </c>
    </row>
    <row r="198" spans="1:15" x14ac:dyDescent="0.25">
      <c r="A198" s="5">
        <v>194</v>
      </c>
      <c r="B198" s="6"/>
      <c r="C198" s="5"/>
      <c r="D198" s="5"/>
      <c r="E198" s="5"/>
      <c r="F198" s="5"/>
      <c r="G198" s="5"/>
      <c r="H198" s="5"/>
      <c r="I198" s="6"/>
      <c r="J198" s="5"/>
      <c r="K198" s="5"/>
      <c r="L198" s="7"/>
      <c r="M198" s="7"/>
      <c r="N198" s="5"/>
      <c r="O198" s="8">
        <f>IF(B198="","",IF(AND(G198="Externe",J198&lt;&gt;"Oui"),"Annexer le rapport",IF(AND(K198="Oui",M198=""),"Suites à décider","Complet")))</f>
      </c>
    </row>
    <row r="199" spans="1:15" x14ac:dyDescent="0.25">
      <c r="A199" s="5">
        <v>195</v>
      </c>
      <c r="B199" s="6"/>
      <c r="C199" s="5"/>
      <c r="D199" s="5"/>
      <c r="E199" s="5"/>
      <c r="F199" s="5"/>
      <c r="G199" s="5"/>
      <c r="H199" s="5"/>
      <c r="I199" s="6"/>
      <c r="J199" s="5"/>
      <c r="K199" s="5"/>
      <c r="L199" s="7"/>
      <c r="M199" s="7"/>
      <c r="N199" s="5"/>
      <c r="O199" s="8">
        <f>IF(B199="","",IF(AND(G199="Externe",J199&lt;&gt;"Oui"),"Annexer le rapport",IF(AND(K199="Oui",M199=""),"Suites à décider","Complet")))</f>
      </c>
    </row>
    <row r="200" spans="1:15" x14ac:dyDescent="0.25">
      <c r="A200" s="5">
        <v>196</v>
      </c>
      <c r="B200" s="6"/>
      <c r="C200" s="5"/>
      <c r="D200" s="5"/>
      <c r="E200" s="5"/>
      <c r="F200" s="5"/>
      <c r="G200" s="5"/>
      <c r="H200" s="5"/>
      <c r="I200" s="6"/>
      <c r="J200" s="5"/>
      <c r="K200" s="5"/>
      <c r="L200" s="7"/>
      <c r="M200" s="7"/>
      <c r="N200" s="5"/>
      <c r="O200" s="8">
        <f>IF(B200="","",IF(AND(G200="Externe",J200&lt;&gt;"Oui"),"Annexer le rapport",IF(AND(K200="Oui",M200=""),"Suites à décider","Complet")))</f>
      </c>
    </row>
    <row r="201" spans="1:15" x14ac:dyDescent="0.25">
      <c r="A201" s="5">
        <v>197</v>
      </c>
      <c r="B201" s="6"/>
      <c r="C201" s="5"/>
      <c r="D201" s="5"/>
      <c r="E201" s="5"/>
      <c r="F201" s="5"/>
      <c r="G201" s="5"/>
      <c r="H201" s="5"/>
      <c r="I201" s="6"/>
      <c r="J201" s="5"/>
      <c r="K201" s="5"/>
      <c r="L201" s="7"/>
      <c r="M201" s="7"/>
      <c r="N201" s="5"/>
      <c r="O201" s="8">
        <f>IF(B201="","",IF(AND(G201="Externe",J201&lt;&gt;"Oui"),"Annexer le rapport",IF(AND(K201="Oui",M201=""),"Suites à décider","Complet")))</f>
      </c>
    </row>
    <row r="202" spans="1:15" x14ac:dyDescent="0.25">
      <c r="A202" s="5">
        <v>198</v>
      </c>
      <c r="B202" s="6"/>
      <c r="C202" s="5"/>
      <c r="D202" s="5"/>
      <c r="E202" s="5"/>
      <c r="F202" s="5"/>
      <c r="G202" s="5"/>
      <c r="H202" s="5"/>
      <c r="I202" s="6"/>
      <c r="J202" s="5"/>
      <c r="K202" s="5"/>
      <c r="L202" s="7"/>
      <c r="M202" s="7"/>
      <c r="N202" s="5"/>
      <c r="O202" s="8">
        <f>IF(B202="","",IF(AND(G202="Externe",J202&lt;&gt;"Oui"),"Annexer le rapport",IF(AND(K202="Oui",M202=""),"Suites à décider","Complet")))</f>
      </c>
    </row>
    <row r="203" spans="1:15" x14ac:dyDescent="0.25">
      <c r="A203" s="5">
        <v>199</v>
      </c>
      <c r="B203" s="6"/>
      <c r="C203" s="5"/>
      <c r="D203" s="5"/>
      <c r="E203" s="5"/>
      <c r="F203" s="5"/>
      <c r="G203" s="5"/>
      <c r="H203" s="5"/>
      <c r="I203" s="6"/>
      <c r="J203" s="5"/>
      <c r="K203" s="5"/>
      <c r="L203" s="7"/>
      <c r="M203" s="7"/>
      <c r="N203" s="5"/>
      <c r="O203" s="8">
        <f>IF(B203="","",IF(AND(G203="Externe",J203&lt;&gt;"Oui"),"Annexer le rapport",IF(AND(K203="Oui",M203=""),"Suites à décider","Complet")))</f>
      </c>
    </row>
    <row r="204" spans="1:15" x14ac:dyDescent="0.25">
      <c r="A204" s="5">
        <v>200</v>
      </c>
      <c r="B204" s="6"/>
      <c r="C204" s="5"/>
      <c r="D204" s="5"/>
      <c r="E204" s="5"/>
      <c r="F204" s="5"/>
      <c r="G204" s="5"/>
      <c r="H204" s="5"/>
      <c r="I204" s="6"/>
      <c r="J204" s="5"/>
      <c r="K204" s="5"/>
      <c r="L204" s="7"/>
      <c r="M204" s="7"/>
      <c r="N204" s="5"/>
      <c r="O204" s="8">
        <f>IF(B204="","",IF(AND(G204="Externe",J204&lt;&gt;"Oui"),"Annexer le rapport",IF(AND(K204="Oui",M204=""),"Suites à décider","Complet")))</f>
      </c>
    </row>
    <row r="205" spans="1:15" x14ac:dyDescent="0.25">
      <c r="A205" s="5">
        <v>201</v>
      </c>
      <c r="B205" s="6"/>
      <c r="C205" s="5"/>
      <c r="D205" s="5"/>
      <c r="E205" s="5"/>
      <c r="F205" s="5"/>
      <c r="G205" s="5"/>
      <c r="H205" s="5"/>
      <c r="I205" s="6"/>
      <c r="J205" s="5"/>
      <c r="K205" s="5"/>
      <c r="L205" s="7"/>
      <c r="M205" s="7"/>
      <c r="N205" s="5"/>
      <c r="O205" s="8">
        <f>IF(B205="","",IF(AND(G205="Externe",J205&lt;&gt;"Oui"),"Annexer le rapport",IF(AND(K205="Oui",M205=""),"Suites à décider","Complet")))</f>
      </c>
    </row>
    <row r="206" spans="1:15" x14ac:dyDescent="0.25">
      <c r="A206" s="5">
        <v>202</v>
      </c>
      <c r="B206" s="6"/>
      <c r="C206" s="5"/>
      <c r="D206" s="5"/>
      <c r="E206" s="5"/>
      <c r="F206" s="5"/>
      <c r="G206" s="5"/>
      <c r="H206" s="5"/>
      <c r="I206" s="6"/>
      <c r="J206" s="5"/>
      <c r="K206" s="5"/>
      <c r="L206" s="7"/>
      <c r="M206" s="7"/>
      <c r="N206" s="5"/>
      <c r="O206" s="8">
        <f>IF(B206="","",IF(AND(G206="Externe",J206&lt;&gt;"Oui"),"Annexer le rapport",IF(AND(K206="Oui",M206=""),"Suites à décider","Complet")))</f>
      </c>
    </row>
    <row r="207" spans="1:15" x14ac:dyDescent="0.25">
      <c r="A207" s="5">
        <v>203</v>
      </c>
      <c r="B207" s="6"/>
      <c r="C207" s="5"/>
      <c r="D207" s="5"/>
      <c r="E207" s="5"/>
      <c r="F207" s="5"/>
      <c r="G207" s="5"/>
      <c r="H207" s="5"/>
      <c r="I207" s="6"/>
      <c r="J207" s="5"/>
      <c r="K207" s="5"/>
      <c r="L207" s="7"/>
      <c r="M207" s="7"/>
      <c r="N207" s="5"/>
      <c r="O207" s="8">
        <f>IF(B207="","",IF(AND(G207="Externe",J207&lt;&gt;"Oui"),"Annexer le rapport",IF(AND(K207="Oui",M207=""),"Suites à décider","Complet")))</f>
      </c>
    </row>
    <row r="208" spans="1:15" x14ac:dyDescent="0.25">
      <c r="A208" s="5">
        <v>204</v>
      </c>
      <c r="B208" s="6"/>
      <c r="C208" s="5"/>
      <c r="D208" s="5"/>
      <c r="E208" s="5"/>
      <c r="F208" s="5"/>
      <c r="G208" s="5"/>
      <c r="H208" s="5"/>
      <c r="I208" s="6"/>
      <c r="J208" s="5"/>
      <c r="K208" s="5"/>
      <c r="L208" s="7"/>
      <c r="M208" s="7"/>
      <c r="N208" s="5"/>
      <c r="O208" s="8">
        <f>IF(B208="","",IF(AND(G208="Externe",J208&lt;&gt;"Oui"),"Annexer le rapport",IF(AND(K208="Oui",M208=""),"Suites à décider","Complet")))</f>
      </c>
    </row>
    <row r="209" spans="1:15" x14ac:dyDescent="0.25">
      <c r="A209" s="5">
        <v>205</v>
      </c>
      <c r="B209" s="6"/>
      <c r="C209" s="5"/>
      <c r="D209" s="5"/>
      <c r="E209" s="5"/>
      <c r="F209" s="5"/>
      <c r="G209" s="5"/>
      <c r="H209" s="5"/>
      <c r="I209" s="6"/>
      <c r="J209" s="5"/>
      <c r="K209" s="5"/>
      <c r="L209" s="7"/>
      <c r="M209" s="7"/>
      <c r="N209" s="5"/>
      <c r="O209" s="8">
        <f>IF(B209="","",IF(AND(G209="Externe",J209&lt;&gt;"Oui"),"Annexer le rapport",IF(AND(K209="Oui",M209=""),"Suites à décider","Complet")))</f>
      </c>
    </row>
    <row r="210" spans="1:15" x14ac:dyDescent="0.25">
      <c r="A210" s="5">
        <v>206</v>
      </c>
      <c r="B210" s="6"/>
      <c r="C210" s="5"/>
      <c r="D210" s="5"/>
      <c r="E210" s="5"/>
      <c r="F210" s="5"/>
      <c r="G210" s="5"/>
      <c r="H210" s="5"/>
      <c r="I210" s="6"/>
      <c r="J210" s="5"/>
      <c r="K210" s="5"/>
      <c r="L210" s="7"/>
      <c r="M210" s="7"/>
      <c r="N210" s="5"/>
      <c r="O210" s="8">
        <f>IF(B210="","",IF(AND(G210="Externe",J210&lt;&gt;"Oui"),"Annexer le rapport",IF(AND(K210="Oui",M210=""),"Suites à décider","Complet")))</f>
      </c>
    </row>
    <row r="211" spans="1:15" x14ac:dyDescent="0.25">
      <c r="A211" s="5">
        <v>207</v>
      </c>
      <c r="B211" s="6"/>
      <c r="C211" s="5"/>
      <c r="D211" s="5"/>
      <c r="E211" s="5"/>
      <c r="F211" s="5"/>
      <c r="G211" s="5"/>
      <c r="H211" s="5"/>
      <c r="I211" s="6"/>
      <c r="J211" s="5"/>
      <c r="K211" s="5"/>
      <c r="L211" s="7"/>
      <c r="M211" s="7"/>
      <c r="N211" s="5"/>
      <c r="O211" s="8">
        <f>IF(B211="","",IF(AND(G211="Externe",J211&lt;&gt;"Oui"),"Annexer le rapport",IF(AND(K211="Oui",M211=""),"Suites à décider","Complet")))</f>
      </c>
    </row>
    <row r="212" spans="1:15" x14ac:dyDescent="0.25">
      <c r="A212" s="5">
        <v>208</v>
      </c>
      <c r="B212" s="6"/>
      <c r="C212" s="5"/>
      <c r="D212" s="5"/>
      <c r="E212" s="5"/>
      <c r="F212" s="5"/>
      <c r="G212" s="5"/>
      <c r="H212" s="5"/>
      <c r="I212" s="6"/>
      <c r="J212" s="5"/>
      <c r="K212" s="5"/>
      <c r="L212" s="7"/>
      <c r="M212" s="7"/>
      <c r="N212" s="5"/>
      <c r="O212" s="8">
        <f>IF(B212="","",IF(AND(G212="Externe",J212&lt;&gt;"Oui"),"Annexer le rapport",IF(AND(K212="Oui",M212=""),"Suites à décider","Complet")))</f>
      </c>
    </row>
    <row r="213" spans="1:15" x14ac:dyDescent="0.25">
      <c r="A213" s="5">
        <v>209</v>
      </c>
      <c r="B213" s="6"/>
      <c r="C213" s="5"/>
      <c r="D213" s="5"/>
      <c r="E213" s="5"/>
      <c r="F213" s="5"/>
      <c r="G213" s="5"/>
      <c r="H213" s="5"/>
      <c r="I213" s="6"/>
      <c r="J213" s="5"/>
      <c r="K213" s="5"/>
      <c r="L213" s="7"/>
      <c r="M213" s="7"/>
      <c r="N213" s="5"/>
      <c r="O213" s="8">
        <f>IF(B213="","",IF(AND(G213="Externe",J213&lt;&gt;"Oui"),"Annexer le rapport",IF(AND(K213="Oui",M213=""),"Suites à décider","Complet")))</f>
      </c>
    </row>
    <row r="214" spans="1:15" x14ac:dyDescent="0.25">
      <c r="A214" s="5">
        <v>210</v>
      </c>
      <c r="B214" s="6"/>
      <c r="C214" s="5"/>
      <c r="D214" s="5"/>
      <c r="E214" s="5"/>
      <c r="F214" s="5"/>
      <c r="G214" s="5"/>
      <c r="H214" s="5"/>
      <c r="I214" s="6"/>
      <c r="J214" s="5"/>
      <c r="K214" s="5"/>
      <c r="L214" s="7"/>
      <c r="M214" s="7"/>
      <c r="N214" s="5"/>
      <c r="O214" s="8">
        <f>IF(B214="","",IF(AND(G214="Externe",J214&lt;&gt;"Oui"),"Annexer le rapport",IF(AND(K214="Oui",M214=""),"Suites à décider","Complet")))</f>
      </c>
    </row>
    <row r="215" spans="1:15" x14ac:dyDescent="0.25">
      <c r="A215" s="5">
        <v>211</v>
      </c>
      <c r="B215" s="6"/>
      <c r="C215" s="5"/>
      <c r="D215" s="5"/>
      <c r="E215" s="5"/>
      <c r="F215" s="5"/>
      <c r="G215" s="5"/>
      <c r="H215" s="5"/>
      <c r="I215" s="6"/>
      <c r="J215" s="5"/>
      <c r="K215" s="5"/>
      <c r="L215" s="7"/>
      <c r="M215" s="7"/>
      <c r="N215" s="5"/>
      <c r="O215" s="8">
        <f>IF(B215="","",IF(AND(G215="Externe",J215&lt;&gt;"Oui"),"Annexer le rapport",IF(AND(K215="Oui",M215=""),"Suites à décider","Complet")))</f>
      </c>
    </row>
    <row r="216" spans="1:15" x14ac:dyDescent="0.25">
      <c r="A216" s="5">
        <v>212</v>
      </c>
      <c r="B216" s="6"/>
      <c r="C216" s="5"/>
      <c r="D216" s="5"/>
      <c r="E216" s="5"/>
      <c r="F216" s="5"/>
      <c r="G216" s="5"/>
      <c r="H216" s="5"/>
      <c r="I216" s="6"/>
      <c r="J216" s="5"/>
      <c r="K216" s="5"/>
      <c r="L216" s="7"/>
      <c r="M216" s="7"/>
      <c r="N216" s="5"/>
      <c r="O216" s="8">
        <f>IF(B216="","",IF(AND(G216="Externe",J216&lt;&gt;"Oui"),"Annexer le rapport",IF(AND(K216="Oui",M216=""),"Suites à décider","Complet")))</f>
      </c>
    </row>
    <row r="217" spans="1:15" x14ac:dyDescent="0.25">
      <c r="A217" s="5">
        <v>213</v>
      </c>
      <c r="B217" s="6"/>
      <c r="C217" s="5"/>
      <c r="D217" s="5"/>
      <c r="E217" s="5"/>
      <c r="F217" s="5"/>
      <c r="G217" s="5"/>
      <c r="H217" s="5"/>
      <c r="I217" s="6"/>
      <c r="J217" s="5"/>
      <c r="K217" s="5"/>
      <c r="L217" s="7"/>
      <c r="M217" s="7"/>
      <c r="N217" s="5"/>
      <c r="O217" s="8">
        <f>IF(B217="","",IF(AND(G217="Externe",J217&lt;&gt;"Oui"),"Annexer le rapport",IF(AND(K217="Oui",M217=""),"Suites à décider","Complet")))</f>
      </c>
    </row>
    <row r="218" spans="1:15" x14ac:dyDescent="0.25">
      <c r="A218" s="5">
        <v>214</v>
      </c>
      <c r="B218" s="6"/>
      <c r="C218" s="5"/>
      <c r="D218" s="5"/>
      <c r="E218" s="5"/>
      <c r="F218" s="5"/>
      <c r="G218" s="5"/>
      <c r="H218" s="5"/>
      <c r="I218" s="6"/>
      <c r="J218" s="5"/>
      <c r="K218" s="5"/>
      <c r="L218" s="7"/>
      <c r="M218" s="7"/>
      <c r="N218" s="5"/>
      <c r="O218" s="8">
        <f>IF(B218="","",IF(AND(G218="Externe",J218&lt;&gt;"Oui"),"Annexer le rapport",IF(AND(K218="Oui",M218=""),"Suites à décider","Complet")))</f>
      </c>
    </row>
    <row r="219" spans="1:15" x14ac:dyDescent="0.25">
      <c r="A219" s="5">
        <v>215</v>
      </c>
      <c r="B219" s="6"/>
      <c r="C219" s="5"/>
      <c r="D219" s="5"/>
      <c r="E219" s="5"/>
      <c r="F219" s="5"/>
      <c r="G219" s="5"/>
      <c r="H219" s="5"/>
      <c r="I219" s="6"/>
      <c r="J219" s="5"/>
      <c r="K219" s="5"/>
      <c r="L219" s="7"/>
      <c r="M219" s="7"/>
      <c r="N219" s="5"/>
      <c r="O219" s="8">
        <f>IF(B219="","",IF(AND(G219="Externe",J219&lt;&gt;"Oui"),"Annexer le rapport",IF(AND(K219="Oui",M219=""),"Suites à décider","Complet")))</f>
      </c>
    </row>
    <row r="220" spans="1:15" x14ac:dyDescent="0.25">
      <c r="A220" s="5">
        <v>216</v>
      </c>
      <c r="B220" s="6"/>
      <c r="C220" s="5"/>
      <c r="D220" s="5"/>
      <c r="E220" s="5"/>
      <c r="F220" s="5"/>
      <c r="G220" s="5"/>
      <c r="H220" s="5"/>
      <c r="I220" s="6"/>
      <c r="J220" s="5"/>
      <c r="K220" s="5"/>
      <c r="L220" s="7"/>
      <c r="M220" s="7"/>
      <c r="N220" s="5"/>
      <c r="O220" s="8">
        <f>IF(B220="","",IF(AND(G220="Externe",J220&lt;&gt;"Oui"),"Annexer le rapport",IF(AND(K220="Oui",M220=""),"Suites à décider","Complet")))</f>
      </c>
    </row>
    <row r="221" spans="1:15" x14ac:dyDescent="0.25">
      <c r="A221" s="5">
        <v>217</v>
      </c>
      <c r="B221" s="6"/>
      <c r="C221" s="5"/>
      <c r="D221" s="5"/>
      <c r="E221" s="5"/>
      <c r="F221" s="5"/>
      <c r="G221" s="5"/>
      <c r="H221" s="5"/>
      <c r="I221" s="6"/>
      <c r="J221" s="5"/>
      <c r="K221" s="5"/>
      <c r="L221" s="7"/>
      <c r="M221" s="7"/>
      <c r="N221" s="5"/>
      <c r="O221" s="8">
        <f>IF(B221="","",IF(AND(G221="Externe",J221&lt;&gt;"Oui"),"Annexer le rapport",IF(AND(K221="Oui",M221=""),"Suites à décider","Complet")))</f>
      </c>
    </row>
    <row r="222" spans="1:15" x14ac:dyDescent="0.25">
      <c r="A222" s="5">
        <v>218</v>
      </c>
      <c r="B222" s="6"/>
      <c r="C222" s="5"/>
      <c r="D222" s="5"/>
      <c r="E222" s="5"/>
      <c r="F222" s="5"/>
      <c r="G222" s="5"/>
      <c r="H222" s="5"/>
      <c r="I222" s="6"/>
      <c r="J222" s="5"/>
      <c r="K222" s="5"/>
      <c r="L222" s="7"/>
      <c r="M222" s="7"/>
      <c r="N222" s="5"/>
      <c r="O222" s="8">
        <f>IF(B222="","",IF(AND(G222="Externe",J222&lt;&gt;"Oui"),"Annexer le rapport",IF(AND(K222="Oui",M222=""),"Suites à décider","Complet")))</f>
      </c>
    </row>
    <row r="223" spans="1:15" x14ac:dyDescent="0.25">
      <c r="A223" s="5">
        <v>219</v>
      </c>
      <c r="B223" s="6"/>
      <c r="C223" s="5"/>
      <c r="D223" s="5"/>
      <c r="E223" s="5"/>
      <c r="F223" s="5"/>
      <c r="G223" s="5"/>
      <c r="H223" s="5"/>
      <c r="I223" s="6"/>
      <c r="J223" s="5"/>
      <c r="K223" s="5"/>
      <c r="L223" s="7"/>
      <c r="M223" s="7"/>
      <c r="N223" s="5"/>
      <c r="O223" s="8">
        <f>IF(B223="","",IF(AND(G223="Externe",J223&lt;&gt;"Oui"),"Annexer le rapport",IF(AND(K223="Oui",M223=""),"Suites à décider","Complet")))</f>
      </c>
    </row>
    <row r="224" spans="1:15" x14ac:dyDescent="0.25">
      <c r="A224" s="5">
        <v>220</v>
      </c>
      <c r="B224" s="6"/>
      <c r="C224" s="5"/>
      <c r="D224" s="5"/>
      <c r="E224" s="5"/>
      <c r="F224" s="5"/>
      <c r="G224" s="5"/>
      <c r="H224" s="5"/>
      <c r="I224" s="6"/>
      <c r="J224" s="5"/>
      <c r="K224" s="5"/>
      <c r="L224" s="7"/>
      <c r="M224" s="7"/>
      <c r="N224" s="5"/>
      <c r="O224" s="8">
        <f>IF(B224="","",IF(AND(G224="Externe",J224&lt;&gt;"Oui"),"Annexer le rapport",IF(AND(K224="Oui",M224=""),"Suites à décider","Complet")))</f>
      </c>
    </row>
    <row r="225" spans="1:15" x14ac:dyDescent="0.25">
      <c r="A225" s="5">
        <v>221</v>
      </c>
      <c r="B225" s="6"/>
      <c r="C225" s="5"/>
      <c r="D225" s="5"/>
      <c r="E225" s="5"/>
      <c r="F225" s="5"/>
      <c r="G225" s="5"/>
      <c r="H225" s="5"/>
      <c r="I225" s="6"/>
      <c r="J225" s="5"/>
      <c r="K225" s="5"/>
      <c r="L225" s="7"/>
      <c r="M225" s="7"/>
      <c r="N225" s="5"/>
      <c r="O225" s="8">
        <f>IF(B225="","",IF(AND(G225="Externe",J225&lt;&gt;"Oui"),"Annexer le rapport",IF(AND(K225="Oui",M225=""),"Suites à décider","Complet")))</f>
      </c>
    </row>
    <row r="226" spans="1:15" x14ac:dyDescent="0.25">
      <c r="A226" s="5">
        <v>222</v>
      </c>
      <c r="B226" s="6"/>
      <c r="C226" s="5"/>
      <c r="D226" s="5"/>
      <c r="E226" s="5"/>
      <c r="F226" s="5"/>
      <c r="G226" s="5"/>
      <c r="H226" s="5"/>
      <c r="I226" s="6"/>
      <c r="J226" s="5"/>
      <c r="K226" s="5"/>
      <c r="L226" s="7"/>
      <c r="M226" s="7"/>
      <c r="N226" s="5"/>
      <c r="O226" s="8">
        <f>IF(B226="","",IF(AND(G226="Externe",J226&lt;&gt;"Oui"),"Annexer le rapport",IF(AND(K226="Oui",M226=""),"Suites à décider","Complet")))</f>
      </c>
    </row>
    <row r="227" spans="1:15" x14ac:dyDescent="0.25">
      <c r="A227" s="5">
        <v>223</v>
      </c>
      <c r="B227" s="6"/>
      <c r="C227" s="5"/>
      <c r="D227" s="5"/>
      <c r="E227" s="5"/>
      <c r="F227" s="5"/>
      <c r="G227" s="5"/>
      <c r="H227" s="5"/>
      <c r="I227" s="6"/>
      <c r="J227" s="5"/>
      <c r="K227" s="5"/>
      <c r="L227" s="7"/>
      <c r="M227" s="7"/>
      <c r="N227" s="5"/>
      <c r="O227" s="8">
        <f>IF(B227="","",IF(AND(G227="Externe",J227&lt;&gt;"Oui"),"Annexer le rapport",IF(AND(K227="Oui",M227=""),"Suites à décider","Complet")))</f>
      </c>
    </row>
    <row r="228" spans="1:15" x14ac:dyDescent="0.25">
      <c r="A228" s="5">
        <v>224</v>
      </c>
      <c r="B228" s="6"/>
      <c r="C228" s="5"/>
      <c r="D228" s="5"/>
      <c r="E228" s="5"/>
      <c r="F228" s="5"/>
      <c r="G228" s="5"/>
      <c r="H228" s="5"/>
      <c r="I228" s="6"/>
      <c r="J228" s="5"/>
      <c r="K228" s="5"/>
      <c r="L228" s="7"/>
      <c r="M228" s="7"/>
      <c r="N228" s="5"/>
      <c r="O228" s="8">
        <f>IF(B228="","",IF(AND(G228="Externe",J228&lt;&gt;"Oui"),"Annexer le rapport",IF(AND(K228="Oui",M228=""),"Suites à décider","Complet")))</f>
      </c>
    </row>
    <row r="229" spans="1:15" x14ac:dyDescent="0.25">
      <c r="A229" s="5">
        <v>225</v>
      </c>
      <c r="B229" s="6"/>
      <c r="C229" s="5"/>
      <c r="D229" s="5"/>
      <c r="E229" s="5"/>
      <c r="F229" s="5"/>
      <c r="G229" s="5"/>
      <c r="H229" s="5"/>
      <c r="I229" s="6"/>
      <c r="J229" s="5"/>
      <c r="K229" s="5"/>
      <c r="L229" s="7"/>
      <c r="M229" s="7"/>
      <c r="N229" s="5"/>
      <c r="O229" s="8">
        <f>IF(B229="","",IF(AND(G229="Externe",J229&lt;&gt;"Oui"),"Annexer le rapport",IF(AND(K229="Oui",M229=""),"Suites à décider","Complet")))</f>
      </c>
    </row>
    <row r="230" spans="1:15" x14ac:dyDescent="0.25">
      <c r="A230" s="5">
        <v>226</v>
      </c>
      <c r="B230" s="6"/>
      <c r="C230" s="5"/>
      <c r="D230" s="5"/>
      <c r="E230" s="5"/>
      <c r="F230" s="5"/>
      <c r="G230" s="5"/>
      <c r="H230" s="5"/>
      <c r="I230" s="6"/>
      <c r="J230" s="5"/>
      <c r="K230" s="5"/>
      <c r="L230" s="7"/>
      <c r="M230" s="7"/>
      <c r="N230" s="5"/>
      <c r="O230" s="8">
        <f>IF(B230="","",IF(AND(G230="Externe",J230&lt;&gt;"Oui"),"Annexer le rapport",IF(AND(K230="Oui",M230=""),"Suites à décider","Complet")))</f>
      </c>
    </row>
    <row r="231" spans="1:15" x14ac:dyDescent="0.25">
      <c r="A231" s="5">
        <v>227</v>
      </c>
      <c r="B231" s="6"/>
      <c r="C231" s="5"/>
      <c r="D231" s="5"/>
      <c r="E231" s="5"/>
      <c r="F231" s="5"/>
      <c r="G231" s="5"/>
      <c r="H231" s="5"/>
      <c r="I231" s="6"/>
      <c r="J231" s="5"/>
      <c r="K231" s="5"/>
      <c r="L231" s="7"/>
      <c r="M231" s="7"/>
      <c r="N231" s="5"/>
      <c r="O231" s="8">
        <f>IF(B231="","",IF(AND(G231="Externe",J231&lt;&gt;"Oui"),"Annexer le rapport",IF(AND(K231="Oui",M231=""),"Suites à décider","Complet")))</f>
      </c>
    </row>
    <row r="232" spans="1:15" x14ac:dyDescent="0.25">
      <c r="A232" s="5">
        <v>228</v>
      </c>
      <c r="B232" s="6"/>
      <c r="C232" s="5"/>
      <c r="D232" s="5"/>
      <c r="E232" s="5"/>
      <c r="F232" s="5"/>
      <c r="G232" s="5"/>
      <c r="H232" s="5"/>
      <c r="I232" s="6"/>
      <c r="J232" s="5"/>
      <c r="K232" s="5"/>
      <c r="L232" s="7"/>
      <c r="M232" s="7"/>
      <c r="N232" s="5"/>
      <c r="O232" s="8">
        <f>IF(B232="","",IF(AND(G232="Externe",J232&lt;&gt;"Oui"),"Annexer le rapport",IF(AND(K232="Oui",M232=""),"Suites à décider","Complet")))</f>
      </c>
    </row>
    <row r="233" spans="1:15" x14ac:dyDescent="0.25">
      <c r="A233" s="5">
        <v>229</v>
      </c>
      <c r="B233" s="6"/>
      <c r="C233" s="5"/>
      <c r="D233" s="5"/>
      <c r="E233" s="5"/>
      <c r="F233" s="5"/>
      <c r="G233" s="5"/>
      <c r="H233" s="5"/>
      <c r="I233" s="6"/>
      <c r="J233" s="5"/>
      <c r="K233" s="5"/>
      <c r="L233" s="7"/>
      <c r="M233" s="7"/>
      <c r="N233" s="5"/>
      <c r="O233" s="8">
        <f>IF(B233="","",IF(AND(G233="Externe",J233&lt;&gt;"Oui"),"Annexer le rapport",IF(AND(K233="Oui",M233=""),"Suites à décider","Complet")))</f>
      </c>
    </row>
    <row r="234" spans="1:15" x14ac:dyDescent="0.25">
      <c r="A234" s="5">
        <v>230</v>
      </c>
      <c r="B234" s="6"/>
      <c r="C234" s="5"/>
      <c r="D234" s="5"/>
      <c r="E234" s="5"/>
      <c r="F234" s="5"/>
      <c r="G234" s="5"/>
      <c r="H234" s="5"/>
      <c r="I234" s="6"/>
      <c r="J234" s="5"/>
      <c r="K234" s="5"/>
      <c r="L234" s="7"/>
      <c r="M234" s="7"/>
      <c r="N234" s="5"/>
      <c r="O234" s="8">
        <f>IF(B234="","",IF(AND(G234="Externe",J234&lt;&gt;"Oui"),"Annexer le rapport",IF(AND(K234="Oui",M234=""),"Suites à décider","Complet")))</f>
      </c>
    </row>
    <row r="235" spans="1:15" x14ac:dyDescent="0.25">
      <c r="A235" s="5">
        <v>231</v>
      </c>
      <c r="B235" s="6"/>
      <c r="C235" s="5"/>
      <c r="D235" s="5"/>
      <c r="E235" s="5"/>
      <c r="F235" s="5"/>
      <c r="G235" s="5"/>
      <c r="H235" s="5"/>
      <c r="I235" s="6"/>
      <c r="J235" s="5"/>
      <c r="K235" s="5"/>
      <c r="L235" s="7"/>
      <c r="M235" s="7"/>
      <c r="N235" s="5"/>
      <c r="O235" s="8">
        <f>IF(B235="","",IF(AND(G235="Externe",J235&lt;&gt;"Oui"),"Annexer le rapport",IF(AND(K235="Oui",M235=""),"Suites à décider","Complet")))</f>
      </c>
    </row>
    <row r="236" spans="1:15" x14ac:dyDescent="0.25">
      <c r="A236" s="5">
        <v>232</v>
      </c>
      <c r="B236" s="6"/>
      <c r="C236" s="5"/>
      <c r="D236" s="5"/>
      <c r="E236" s="5"/>
      <c r="F236" s="5"/>
      <c r="G236" s="5"/>
      <c r="H236" s="5"/>
      <c r="I236" s="6"/>
      <c r="J236" s="5"/>
      <c r="K236" s="5"/>
      <c r="L236" s="7"/>
      <c r="M236" s="7"/>
      <c r="N236" s="5"/>
      <c r="O236" s="8">
        <f>IF(B236="","",IF(AND(G236="Externe",J236&lt;&gt;"Oui"),"Annexer le rapport",IF(AND(K236="Oui",M236=""),"Suites à décider","Complet")))</f>
      </c>
    </row>
    <row r="237" spans="1:15" x14ac:dyDescent="0.25">
      <c r="A237" s="5">
        <v>233</v>
      </c>
      <c r="B237" s="6"/>
      <c r="C237" s="5"/>
      <c r="D237" s="5"/>
      <c r="E237" s="5"/>
      <c r="F237" s="5"/>
      <c r="G237" s="5"/>
      <c r="H237" s="5"/>
      <c r="I237" s="6"/>
      <c r="J237" s="5"/>
      <c r="K237" s="5"/>
      <c r="L237" s="7"/>
      <c r="M237" s="7"/>
      <c r="N237" s="5"/>
      <c r="O237" s="8">
        <f>IF(B237="","",IF(AND(G237="Externe",J237&lt;&gt;"Oui"),"Annexer le rapport",IF(AND(K237="Oui",M237=""),"Suites à décider","Complet")))</f>
      </c>
    </row>
    <row r="238" spans="1:15" x14ac:dyDescent="0.25">
      <c r="A238" s="5">
        <v>234</v>
      </c>
      <c r="B238" s="6"/>
      <c r="C238" s="5"/>
      <c r="D238" s="5"/>
      <c r="E238" s="5"/>
      <c r="F238" s="5"/>
      <c r="G238" s="5"/>
      <c r="H238" s="5"/>
      <c r="I238" s="6"/>
      <c r="J238" s="5"/>
      <c r="K238" s="5"/>
      <c r="L238" s="7"/>
      <c r="M238" s="7"/>
      <c r="N238" s="5"/>
      <c r="O238" s="8">
        <f>IF(B238="","",IF(AND(G238="Externe",J238&lt;&gt;"Oui"),"Annexer le rapport",IF(AND(K238="Oui",M238=""),"Suites à décider","Complet")))</f>
      </c>
    </row>
    <row r="239" spans="1:15" x14ac:dyDescent="0.25">
      <c r="A239" s="5">
        <v>235</v>
      </c>
      <c r="B239" s="6"/>
      <c r="C239" s="5"/>
      <c r="D239" s="5"/>
      <c r="E239" s="5"/>
      <c r="F239" s="5"/>
      <c r="G239" s="5"/>
      <c r="H239" s="5"/>
      <c r="I239" s="6"/>
      <c r="J239" s="5"/>
      <c r="K239" s="5"/>
      <c r="L239" s="7"/>
      <c r="M239" s="7"/>
      <c r="N239" s="5"/>
      <c r="O239" s="8">
        <f>IF(B239="","",IF(AND(G239="Externe",J239&lt;&gt;"Oui"),"Annexer le rapport",IF(AND(K239="Oui",M239=""),"Suites à décider","Complet")))</f>
      </c>
    </row>
    <row r="240" spans="1:15" x14ac:dyDescent="0.25">
      <c r="A240" s="5">
        <v>236</v>
      </c>
      <c r="B240" s="6"/>
      <c r="C240" s="5"/>
      <c r="D240" s="5"/>
      <c r="E240" s="5"/>
      <c r="F240" s="5"/>
      <c r="G240" s="5"/>
      <c r="H240" s="5"/>
      <c r="I240" s="6"/>
      <c r="J240" s="5"/>
      <c r="K240" s="5"/>
      <c r="L240" s="7"/>
      <c r="M240" s="7"/>
      <c r="N240" s="5"/>
      <c r="O240" s="8">
        <f>IF(B240="","",IF(AND(G240="Externe",J240&lt;&gt;"Oui"),"Annexer le rapport",IF(AND(K240="Oui",M240=""),"Suites à décider","Complet")))</f>
      </c>
    </row>
    <row r="241" spans="1:15" x14ac:dyDescent="0.25">
      <c r="A241" s="5">
        <v>237</v>
      </c>
      <c r="B241" s="6"/>
      <c r="C241" s="5"/>
      <c r="D241" s="5"/>
      <c r="E241" s="5"/>
      <c r="F241" s="5"/>
      <c r="G241" s="5"/>
      <c r="H241" s="5"/>
      <c r="I241" s="6"/>
      <c r="J241" s="5"/>
      <c r="K241" s="5"/>
      <c r="L241" s="7"/>
      <c r="M241" s="7"/>
      <c r="N241" s="5"/>
      <c r="O241" s="8">
        <f>IF(B241="","",IF(AND(G241="Externe",J241&lt;&gt;"Oui"),"Annexer le rapport",IF(AND(K241="Oui",M241=""),"Suites à décider","Complet")))</f>
      </c>
    </row>
    <row r="242" spans="1:15" x14ac:dyDescent="0.25">
      <c r="A242" s="5">
        <v>238</v>
      </c>
      <c r="B242" s="6"/>
      <c r="C242" s="5"/>
      <c r="D242" s="5"/>
      <c r="E242" s="5"/>
      <c r="F242" s="5"/>
      <c r="G242" s="5"/>
      <c r="H242" s="5"/>
      <c r="I242" s="6"/>
      <c r="J242" s="5"/>
      <c r="K242" s="5"/>
      <c r="L242" s="7"/>
      <c r="M242" s="7"/>
      <c r="N242" s="5"/>
      <c r="O242" s="8">
        <f>IF(B242="","",IF(AND(G242="Externe",J242&lt;&gt;"Oui"),"Annexer le rapport",IF(AND(K242="Oui",M242=""),"Suites à décider","Complet")))</f>
      </c>
    </row>
    <row r="243" spans="1:15" x14ac:dyDescent="0.25">
      <c r="A243" s="5">
        <v>239</v>
      </c>
      <c r="B243" s="6"/>
      <c r="C243" s="5"/>
      <c r="D243" s="5"/>
      <c r="E243" s="5"/>
      <c r="F243" s="5"/>
      <c r="G243" s="5"/>
      <c r="H243" s="5"/>
      <c r="I243" s="6"/>
      <c r="J243" s="5"/>
      <c r="K243" s="5"/>
      <c r="L243" s="7"/>
      <c r="M243" s="7"/>
      <c r="N243" s="5"/>
      <c r="O243" s="8">
        <f>IF(B243="","",IF(AND(G243="Externe",J243&lt;&gt;"Oui"),"Annexer le rapport",IF(AND(K243="Oui",M243=""),"Suites à décider","Complet")))</f>
      </c>
    </row>
    <row r="244" spans="1:15" x14ac:dyDescent="0.25">
      <c r="A244" s="5">
        <v>240</v>
      </c>
      <c r="B244" s="6"/>
      <c r="C244" s="5"/>
      <c r="D244" s="5"/>
      <c r="E244" s="5"/>
      <c r="F244" s="5"/>
      <c r="G244" s="5"/>
      <c r="H244" s="5"/>
      <c r="I244" s="6"/>
      <c r="J244" s="5"/>
      <c r="K244" s="5"/>
      <c r="L244" s="7"/>
      <c r="M244" s="7"/>
      <c r="N244" s="5"/>
      <c r="O244" s="8">
        <f>IF(B244="","",IF(AND(G244="Externe",J244&lt;&gt;"Oui"),"Annexer le rapport",IF(AND(K244="Oui",M244=""),"Suites à décider","Complet")))</f>
      </c>
    </row>
    <row r="245" spans="1:15" x14ac:dyDescent="0.25">
      <c r="A245" s="5">
        <v>241</v>
      </c>
      <c r="B245" s="6"/>
      <c r="C245" s="5"/>
      <c r="D245" s="5"/>
      <c r="E245" s="5"/>
      <c r="F245" s="5"/>
      <c r="G245" s="5"/>
      <c r="H245" s="5"/>
      <c r="I245" s="6"/>
      <c r="J245" s="5"/>
      <c r="K245" s="5"/>
      <c r="L245" s="7"/>
      <c r="M245" s="7"/>
      <c r="N245" s="5"/>
      <c r="O245" s="8">
        <f>IF(B245="","",IF(AND(G245="Externe",J245&lt;&gt;"Oui"),"Annexer le rapport",IF(AND(K245="Oui",M245=""),"Suites à décider","Complet")))</f>
      </c>
    </row>
    <row r="246" spans="1:15" x14ac:dyDescent="0.25">
      <c r="A246" s="5">
        <v>242</v>
      </c>
      <c r="B246" s="6"/>
      <c r="C246" s="5"/>
      <c r="D246" s="5"/>
      <c r="E246" s="5"/>
      <c r="F246" s="5"/>
      <c r="G246" s="5"/>
      <c r="H246" s="5"/>
      <c r="I246" s="6"/>
      <c r="J246" s="5"/>
      <c r="K246" s="5"/>
      <c r="L246" s="7"/>
      <c r="M246" s="7"/>
      <c r="N246" s="5"/>
      <c r="O246" s="8">
        <f>IF(B246="","",IF(AND(G246="Externe",J246&lt;&gt;"Oui"),"Annexer le rapport",IF(AND(K246="Oui",M246=""),"Suites à décider","Complet")))</f>
      </c>
    </row>
    <row r="247" spans="1:15" x14ac:dyDescent="0.25">
      <c r="A247" s="5">
        <v>243</v>
      </c>
      <c r="B247" s="6"/>
      <c r="C247" s="5"/>
      <c r="D247" s="5"/>
      <c r="E247" s="5"/>
      <c r="F247" s="5"/>
      <c r="G247" s="5"/>
      <c r="H247" s="5"/>
      <c r="I247" s="6"/>
      <c r="J247" s="5"/>
      <c r="K247" s="5"/>
      <c r="L247" s="7"/>
      <c r="M247" s="7"/>
      <c r="N247" s="5"/>
      <c r="O247" s="8">
        <f>IF(B247="","",IF(AND(G247="Externe",J247&lt;&gt;"Oui"),"Annexer le rapport",IF(AND(K247="Oui",M247=""),"Suites à décider","Complet")))</f>
      </c>
    </row>
    <row r="248" spans="1:15" x14ac:dyDescent="0.25">
      <c r="A248" s="5">
        <v>244</v>
      </c>
      <c r="B248" s="6"/>
      <c r="C248" s="5"/>
      <c r="D248" s="5"/>
      <c r="E248" s="5"/>
      <c r="F248" s="5"/>
      <c r="G248" s="5"/>
      <c r="H248" s="5"/>
      <c r="I248" s="6"/>
      <c r="J248" s="5"/>
      <c r="K248" s="5"/>
      <c r="L248" s="7"/>
      <c r="M248" s="7"/>
      <c r="N248" s="5"/>
      <c r="O248" s="8">
        <f>IF(B248="","",IF(AND(G248="Externe",J248&lt;&gt;"Oui"),"Annexer le rapport",IF(AND(K248="Oui",M248=""),"Suites à décider","Complet")))</f>
      </c>
    </row>
    <row r="249" spans="1:15" x14ac:dyDescent="0.25">
      <c r="A249" s="5">
        <v>245</v>
      </c>
      <c r="B249" s="6"/>
      <c r="C249" s="5"/>
      <c r="D249" s="5"/>
      <c r="E249" s="5"/>
      <c r="F249" s="5"/>
      <c r="G249" s="5"/>
      <c r="H249" s="5"/>
      <c r="I249" s="6"/>
      <c r="J249" s="5"/>
      <c r="K249" s="5"/>
      <c r="L249" s="7"/>
      <c r="M249" s="7"/>
      <c r="N249" s="5"/>
      <c r="O249" s="8">
        <f>IF(B249="","",IF(AND(G249="Externe",J249&lt;&gt;"Oui"),"Annexer le rapport",IF(AND(K249="Oui",M249=""),"Suites à décider","Complet")))</f>
      </c>
    </row>
    <row r="250" spans="1:15" x14ac:dyDescent="0.25">
      <c r="A250" s="5">
        <v>246</v>
      </c>
      <c r="B250" s="6"/>
      <c r="C250" s="5"/>
      <c r="D250" s="5"/>
      <c r="E250" s="5"/>
      <c r="F250" s="5"/>
      <c r="G250" s="5"/>
      <c r="H250" s="5"/>
      <c r="I250" s="6"/>
      <c r="J250" s="5"/>
      <c r="K250" s="5"/>
      <c r="L250" s="7"/>
      <c r="M250" s="7"/>
      <c r="N250" s="5"/>
      <c r="O250" s="8">
        <f>IF(B250="","",IF(AND(G250="Externe",J250&lt;&gt;"Oui"),"Annexer le rapport",IF(AND(K250="Oui",M250=""),"Suites à décider","Complet")))</f>
      </c>
    </row>
    <row r="251" spans="1:15" x14ac:dyDescent="0.25">
      <c r="A251" s="5">
        <v>247</v>
      </c>
      <c r="B251" s="6"/>
      <c r="C251" s="5"/>
      <c r="D251" s="5"/>
      <c r="E251" s="5"/>
      <c r="F251" s="5"/>
      <c r="G251" s="5"/>
      <c r="H251" s="5"/>
      <c r="I251" s="6"/>
      <c r="J251" s="5"/>
      <c r="K251" s="5"/>
      <c r="L251" s="7"/>
      <c r="M251" s="7"/>
      <c r="N251" s="5"/>
      <c r="O251" s="8">
        <f>IF(B251="","",IF(AND(G251="Externe",J251&lt;&gt;"Oui"),"Annexer le rapport",IF(AND(K251="Oui",M251=""),"Suites à décider","Complet")))</f>
      </c>
    </row>
    <row r="252" spans="1:15" x14ac:dyDescent="0.25">
      <c r="A252" s="5">
        <v>248</v>
      </c>
      <c r="B252" s="6"/>
      <c r="C252" s="5"/>
      <c r="D252" s="5"/>
      <c r="E252" s="5"/>
      <c r="F252" s="5"/>
      <c r="G252" s="5"/>
      <c r="H252" s="5"/>
      <c r="I252" s="6"/>
      <c r="J252" s="5"/>
      <c r="K252" s="5"/>
      <c r="L252" s="7"/>
      <c r="M252" s="7"/>
      <c r="N252" s="5"/>
      <c r="O252" s="8">
        <f>IF(B252="","",IF(AND(G252="Externe",J252&lt;&gt;"Oui"),"Annexer le rapport",IF(AND(K252="Oui",M252=""),"Suites à décider","Complet")))</f>
      </c>
    </row>
    <row r="253" spans="1:15" x14ac:dyDescent="0.25">
      <c r="A253" s="5">
        <v>249</v>
      </c>
      <c r="B253" s="6"/>
      <c r="C253" s="5"/>
      <c r="D253" s="5"/>
      <c r="E253" s="5"/>
      <c r="F253" s="5"/>
      <c r="G253" s="5"/>
      <c r="H253" s="5"/>
      <c r="I253" s="6"/>
      <c r="J253" s="5"/>
      <c r="K253" s="5"/>
      <c r="L253" s="7"/>
      <c r="M253" s="7"/>
      <c r="N253" s="5"/>
      <c r="O253" s="8">
        <f>IF(B253="","",IF(AND(G253="Externe",J253&lt;&gt;"Oui"),"Annexer le rapport",IF(AND(K253="Oui",M253=""),"Suites à décider","Complet")))</f>
      </c>
    </row>
    <row r="254" spans="1:15" x14ac:dyDescent="0.25">
      <c r="A254" s="5">
        <v>250</v>
      </c>
      <c r="B254" s="6"/>
      <c r="C254" s="5"/>
      <c r="D254" s="5"/>
      <c r="E254" s="5"/>
      <c r="F254" s="5"/>
      <c r="G254" s="5"/>
      <c r="H254" s="5"/>
      <c r="I254" s="6"/>
      <c r="J254" s="5"/>
      <c r="K254" s="5"/>
      <c r="L254" s="7"/>
      <c r="M254" s="7"/>
      <c r="N254" s="5"/>
      <c r="O254" s="8">
        <f>IF(B254="","",IF(AND(G254="Externe",J254&lt;&gt;"Oui"),"Annexer le rapport",IF(AND(K254="Oui",M254=""),"Suites à décider","Complet")))</f>
      </c>
    </row>
    <row r="255" spans="1:15" x14ac:dyDescent="0.25">
      <c r="A255" s="5">
        <v>251</v>
      </c>
      <c r="B255" s="6"/>
      <c r="C255" s="5"/>
      <c r="D255" s="5"/>
      <c r="E255" s="5"/>
      <c r="F255" s="5"/>
      <c r="G255" s="5"/>
      <c r="H255" s="5"/>
      <c r="I255" s="6"/>
      <c r="J255" s="5"/>
      <c r="K255" s="5"/>
      <c r="L255" s="7"/>
      <c r="M255" s="7"/>
      <c r="N255" s="5"/>
      <c r="O255" s="8">
        <f>IF(B255="","",IF(AND(G255="Externe",J255&lt;&gt;"Oui"),"Annexer le rapport",IF(AND(K255="Oui",M255=""),"Suites à décider","Complet")))</f>
      </c>
    </row>
    <row r="256" spans="1:15" x14ac:dyDescent="0.25">
      <c r="A256" s="5">
        <v>252</v>
      </c>
      <c r="B256" s="6"/>
      <c r="C256" s="5"/>
      <c r="D256" s="5"/>
      <c r="E256" s="5"/>
      <c r="F256" s="5"/>
      <c r="G256" s="5"/>
      <c r="H256" s="5"/>
      <c r="I256" s="6"/>
      <c r="J256" s="5"/>
      <c r="K256" s="5"/>
      <c r="L256" s="7"/>
      <c r="M256" s="7"/>
      <c r="N256" s="5"/>
      <c r="O256" s="8">
        <f>IF(B256="","",IF(AND(G256="Externe",J256&lt;&gt;"Oui"),"Annexer le rapport",IF(AND(K256="Oui",M256=""),"Suites à décider","Complet")))</f>
      </c>
    </row>
    <row r="257" spans="1:15" x14ac:dyDescent="0.25">
      <c r="A257" s="5">
        <v>253</v>
      </c>
      <c r="B257" s="6"/>
      <c r="C257" s="5"/>
      <c r="D257" s="5"/>
      <c r="E257" s="5"/>
      <c r="F257" s="5"/>
      <c r="G257" s="5"/>
      <c r="H257" s="5"/>
      <c r="I257" s="6"/>
      <c r="J257" s="5"/>
      <c r="K257" s="5"/>
      <c r="L257" s="7"/>
      <c r="M257" s="7"/>
      <c r="N257" s="5"/>
      <c r="O257" s="8">
        <f>IF(B257="","",IF(AND(G257="Externe",J257&lt;&gt;"Oui"),"Annexer le rapport",IF(AND(K257="Oui",M257=""),"Suites à décider","Complet")))</f>
      </c>
    </row>
    <row r="258" spans="1:15" x14ac:dyDescent="0.25">
      <c r="A258" s="5">
        <v>254</v>
      </c>
      <c r="B258" s="6"/>
      <c r="C258" s="5"/>
      <c r="D258" s="5"/>
      <c r="E258" s="5"/>
      <c r="F258" s="5"/>
      <c r="G258" s="5"/>
      <c r="H258" s="5"/>
      <c r="I258" s="6"/>
      <c r="J258" s="5"/>
      <c r="K258" s="5"/>
      <c r="L258" s="7"/>
      <c r="M258" s="7"/>
      <c r="N258" s="5"/>
      <c r="O258" s="8">
        <f>IF(B258="","",IF(AND(G258="Externe",J258&lt;&gt;"Oui"),"Annexer le rapport",IF(AND(K258="Oui",M258=""),"Suites à décider","Complet")))</f>
      </c>
    </row>
    <row r="259" spans="1:15" x14ac:dyDescent="0.25">
      <c r="A259" s="5">
        <v>255</v>
      </c>
      <c r="B259" s="6"/>
      <c r="C259" s="5"/>
      <c r="D259" s="5"/>
      <c r="E259" s="5"/>
      <c r="F259" s="5"/>
      <c r="G259" s="5"/>
      <c r="H259" s="5"/>
      <c r="I259" s="6"/>
      <c r="J259" s="5"/>
      <c r="K259" s="5"/>
      <c r="L259" s="7"/>
      <c r="M259" s="7"/>
      <c r="N259" s="5"/>
      <c r="O259" s="8">
        <f>IF(B259="","",IF(AND(G259="Externe",J259&lt;&gt;"Oui"),"Annexer le rapport",IF(AND(K259="Oui",M259=""),"Suites à décider","Complet")))</f>
      </c>
    </row>
    <row r="260" spans="1:15" x14ac:dyDescent="0.25">
      <c r="A260" s="5">
        <v>256</v>
      </c>
      <c r="B260" s="6"/>
      <c r="C260" s="5"/>
      <c r="D260" s="5"/>
      <c r="E260" s="5"/>
      <c r="F260" s="5"/>
      <c r="G260" s="5"/>
      <c r="H260" s="5"/>
      <c r="I260" s="6"/>
      <c r="J260" s="5"/>
      <c r="K260" s="5"/>
      <c r="L260" s="7"/>
      <c r="M260" s="7"/>
      <c r="N260" s="5"/>
      <c r="O260" s="8">
        <f>IF(B260="","",IF(AND(G260="Externe",J260&lt;&gt;"Oui"),"Annexer le rapport",IF(AND(K260="Oui",M260=""),"Suites à décider","Complet")))</f>
      </c>
    </row>
    <row r="261" spans="1:15" x14ac:dyDescent="0.25">
      <c r="A261" s="5">
        <v>257</v>
      </c>
      <c r="B261" s="6"/>
      <c r="C261" s="5"/>
      <c r="D261" s="5"/>
      <c r="E261" s="5"/>
      <c r="F261" s="5"/>
      <c r="G261" s="5"/>
      <c r="H261" s="5"/>
      <c r="I261" s="6"/>
      <c r="J261" s="5"/>
      <c r="K261" s="5"/>
      <c r="L261" s="7"/>
      <c r="M261" s="7"/>
      <c r="N261" s="5"/>
      <c r="O261" s="8">
        <f>IF(B261="","",IF(AND(G261="Externe",J261&lt;&gt;"Oui"),"Annexer le rapport",IF(AND(K261="Oui",M261=""),"Suites à décider","Complet")))</f>
      </c>
    </row>
    <row r="262" spans="1:15" x14ac:dyDescent="0.25">
      <c r="A262" s="5">
        <v>258</v>
      </c>
      <c r="B262" s="6"/>
      <c r="C262" s="5"/>
      <c r="D262" s="5"/>
      <c r="E262" s="5"/>
      <c r="F262" s="5"/>
      <c r="G262" s="5"/>
      <c r="H262" s="5"/>
      <c r="I262" s="6"/>
      <c r="J262" s="5"/>
      <c r="K262" s="5"/>
      <c r="L262" s="7"/>
      <c r="M262" s="7"/>
      <c r="N262" s="5"/>
      <c r="O262" s="8">
        <f>IF(B262="","",IF(AND(G262="Externe",J262&lt;&gt;"Oui"),"Annexer le rapport",IF(AND(K262="Oui",M262=""),"Suites à décider","Complet")))</f>
      </c>
    </row>
    <row r="263" spans="1:15" x14ac:dyDescent="0.25">
      <c r="A263" s="5">
        <v>259</v>
      </c>
      <c r="B263" s="6"/>
      <c r="C263" s="5"/>
      <c r="D263" s="5"/>
      <c r="E263" s="5"/>
      <c r="F263" s="5"/>
      <c r="G263" s="5"/>
      <c r="H263" s="5"/>
      <c r="I263" s="6"/>
      <c r="J263" s="5"/>
      <c r="K263" s="5"/>
      <c r="L263" s="7"/>
      <c r="M263" s="7"/>
      <c r="N263" s="5"/>
      <c r="O263" s="8">
        <f>IF(B263="","",IF(AND(G263="Externe",J263&lt;&gt;"Oui"),"Annexer le rapport",IF(AND(K263="Oui",M263=""),"Suites à décider","Complet")))</f>
      </c>
    </row>
    <row r="264" spans="1:15" x14ac:dyDescent="0.25">
      <c r="A264" s="5">
        <v>260</v>
      </c>
      <c r="B264" s="6"/>
      <c r="C264" s="5"/>
      <c r="D264" s="5"/>
      <c r="E264" s="5"/>
      <c r="F264" s="5"/>
      <c r="G264" s="5"/>
      <c r="H264" s="5"/>
      <c r="I264" s="6"/>
      <c r="J264" s="5"/>
      <c r="K264" s="5"/>
      <c r="L264" s="7"/>
      <c r="M264" s="7"/>
      <c r="N264" s="5"/>
      <c r="O264" s="8">
        <f>IF(B264="","",IF(AND(G264="Externe",J264&lt;&gt;"Oui"),"Annexer le rapport",IF(AND(K264="Oui",M264=""),"Suites à décider","Complet")))</f>
      </c>
    </row>
    <row r="265" spans="1:15" x14ac:dyDescent="0.25">
      <c r="A265" s="5">
        <v>261</v>
      </c>
      <c r="B265" s="6"/>
      <c r="C265" s="5"/>
      <c r="D265" s="5"/>
      <c r="E265" s="5"/>
      <c r="F265" s="5"/>
      <c r="G265" s="5"/>
      <c r="H265" s="5"/>
      <c r="I265" s="6"/>
      <c r="J265" s="5"/>
      <c r="K265" s="5"/>
      <c r="L265" s="7"/>
      <c r="M265" s="7"/>
      <c r="N265" s="5"/>
      <c r="O265" s="8">
        <f>IF(B265="","",IF(AND(G265="Externe",J265&lt;&gt;"Oui"),"Annexer le rapport",IF(AND(K265="Oui",M265=""),"Suites à décider","Complet")))</f>
      </c>
    </row>
    <row r="266" spans="1:15" x14ac:dyDescent="0.25">
      <c r="A266" s="5">
        <v>262</v>
      </c>
      <c r="B266" s="6"/>
      <c r="C266" s="5"/>
      <c r="D266" s="5"/>
      <c r="E266" s="5"/>
      <c r="F266" s="5"/>
      <c r="G266" s="5"/>
      <c r="H266" s="5"/>
      <c r="I266" s="6"/>
      <c r="J266" s="5"/>
      <c r="K266" s="5"/>
      <c r="L266" s="7"/>
      <c r="M266" s="7"/>
      <c r="N266" s="5"/>
      <c r="O266" s="8">
        <f>IF(B266="","",IF(AND(G266="Externe",J266&lt;&gt;"Oui"),"Annexer le rapport",IF(AND(K266="Oui",M266=""),"Suites à décider","Complet")))</f>
      </c>
    </row>
    <row r="267" spans="1:15" x14ac:dyDescent="0.25">
      <c r="A267" s="5">
        <v>263</v>
      </c>
      <c r="B267" s="6"/>
      <c r="C267" s="5"/>
      <c r="D267" s="5"/>
      <c r="E267" s="5"/>
      <c r="F267" s="5"/>
      <c r="G267" s="5"/>
      <c r="H267" s="5"/>
      <c r="I267" s="6"/>
      <c r="J267" s="5"/>
      <c r="K267" s="5"/>
      <c r="L267" s="7"/>
      <c r="M267" s="7"/>
      <c r="N267" s="5"/>
      <c r="O267" s="8">
        <f>IF(B267="","",IF(AND(G267="Externe",J267&lt;&gt;"Oui"),"Annexer le rapport",IF(AND(K267="Oui",M267=""),"Suites à décider","Complet")))</f>
      </c>
    </row>
    <row r="268" spans="1:15" x14ac:dyDescent="0.25">
      <c r="A268" s="5">
        <v>264</v>
      </c>
      <c r="B268" s="6"/>
      <c r="C268" s="5"/>
      <c r="D268" s="5"/>
      <c r="E268" s="5"/>
      <c r="F268" s="5"/>
      <c r="G268" s="5"/>
      <c r="H268" s="5"/>
      <c r="I268" s="6"/>
      <c r="J268" s="5"/>
      <c r="K268" s="5"/>
      <c r="L268" s="7"/>
      <c r="M268" s="7"/>
      <c r="N268" s="5"/>
      <c r="O268" s="8">
        <f>IF(B268="","",IF(AND(G268="Externe",J268&lt;&gt;"Oui"),"Annexer le rapport",IF(AND(K268="Oui",M268=""),"Suites à décider","Complet")))</f>
      </c>
    </row>
    <row r="269" spans="1:15" x14ac:dyDescent="0.25">
      <c r="A269" s="5">
        <v>265</v>
      </c>
      <c r="B269" s="6"/>
      <c r="C269" s="5"/>
      <c r="D269" s="5"/>
      <c r="E269" s="5"/>
      <c r="F269" s="5"/>
      <c r="G269" s="5"/>
      <c r="H269" s="5"/>
      <c r="I269" s="6"/>
      <c r="J269" s="5"/>
      <c r="K269" s="5"/>
      <c r="L269" s="7"/>
      <c r="M269" s="7"/>
      <c r="N269" s="5"/>
      <c r="O269" s="8">
        <f>IF(B269="","",IF(AND(G269="Externe",J269&lt;&gt;"Oui"),"Annexer le rapport",IF(AND(K269="Oui",M269=""),"Suites à décider","Complet")))</f>
      </c>
    </row>
    <row r="270" spans="1:15" x14ac:dyDescent="0.25">
      <c r="A270" s="5">
        <v>266</v>
      </c>
      <c r="B270" s="6"/>
      <c r="C270" s="5"/>
      <c r="D270" s="5"/>
      <c r="E270" s="5"/>
      <c r="F270" s="5"/>
      <c r="G270" s="5"/>
      <c r="H270" s="5"/>
      <c r="I270" s="6"/>
      <c r="J270" s="5"/>
      <c r="K270" s="5"/>
      <c r="L270" s="7"/>
      <c r="M270" s="7"/>
      <c r="N270" s="5"/>
      <c r="O270" s="8">
        <f>IF(B270="","",IF(AND(G270="Externe",J270&lt;&gt;"Oui"),"Annexer le rapport",IF(AND(K270="Oui",M270=""),"Suites à décider","Complet")))</f>
      </c>
    </row>
    <row r="271" spans="1:15" x14ac:dyDescent="0.25">
      <c r="A271" s="5">
        <v>267</v>
      </c>
      <c r="B271" s="6"/>
      <c r="C271" s="5"/>
      <c r="D271" s="5"/>
      <c r="E271" s="5"/>
      <c r="F271" s="5"/>
      <c r="G271" s="5"/>
      <c r="H271" s="5"/>
      <c r="I271" s="6"/>
      <c r="J271" s="5"/>
      <c r="K271" s="5"/>
      <c r="L271" s="7"/>
      <c r="M271" s="7"/>
      <c r="N271" s="5"/>
      <c r="O271" s="8">
        <f>IF(B271="","",IF(AND(G271="Externe",J271&lt;&gt;"Oui"),"Annexer le rapport",IF(AND(K271="Oui",M271=""),"Suites à décider","Complet")))</f>
      </c>
    </row>
    <row r="272" spans="1:15" x14ac:dyDescent="0.25">
      <c r="A272" s="5">
        <v>268</v>
      </c>
      <c r="B272" s="6"/>
      <c r="C272" s="5"/>
      <c r="D272" s="5"/>
      <c r="E272" s="5"/>
      <c r="F272" s="5"/>
      <c r="G272" s="5"/>
      <c r="H272" s="5"/>
      <c r="I272" s="6"/>
      <c r="J272" s="5"/>
      <c r="K272" s="5"/>
      <c r="L272" s="7"/>
      <c r="M272" s="7"/>
      <c r="N272" s="5"/>
      <c r="O272" s="8">
        <f>IF(B272="","",IF(AND(G272="Externe",J272&lt;&gt;"Oui"),"Annexer le rapport",IF(AND(K272="Oui",M272=""),"Suites à décider","Complet")))</f>
      </c>
    </row>
    <row r="273" spans="1:15" x14ac:dyDescent="0.25">
      <c r="A273" s="5">
        <v>269</v>
      </c>
      <c r="B273" s="6"/>
      <c r="C273" s="5"/>
      <c r="D273" s="5"/>
      <c r="E273" s="5"/>
      <c r="F273" s="5"/>
      <c r="G273" s="5"/>
      <c r="H273" s="5"/>
      <c r="I273" s="6"/>
      <c r="J273" s="5"/>
      <c r="K273" s="5"/>
      <c r="L273" s="7"/>
      <c r="M273" s="7"/>
      <c r="N273" s="5"/>
      <c r="O273" s="8">
        <f>IF(B273="","",IF(AND(G273="Externe",J273&lt;&gt;"Oui"),"Annexer le rapport",IF(AND(K273="Oui",M273=""),"Suites à décider","Complet")))</f>
      </c>
    </row>
    <row r="274" spans="1:15" x14ac:dyDescent="0.25">
      <c r="A274" s="5">
        <v>270</v>
      </c>
      <c r="B274" s="6"/>
      <c r="C274" s="5"/>
      <c r="D274" s="5"/>
      <c r="E274" s="5"/>
      <c r="F274" s="5"/>
      <c r="G274" s="5"/>
      <c r="H274" s="5"/>
      <c r="I274" s="6"/>
      <c r="J274" s="5"/>
      <c r="K274" s="5"/>
      <c r="L274" s="7"/>
      <c r="M274" s="7"/>
      <c r="N274" s="5"/>
      <c r="O274" s="8">
        <f>IF(B274="","",IF(AND(G274="Externe",J274&lt;&gt;"Oui"),"Annexer le rapport",IF(AND(K274="Oui",M274=""),"Suites à décider","Complet")))</f>
      </c>
    </row>
    <row r="275" spans="1:15" x14ac:dyDescent="0.25">
      <c r="A275" s="5">
        <v>271</v>
      </c>
      <c r="B275" s="6"/>
      <c r="C275" s="5"/>
      <c r="D275" s="5"/>
      <c r="E275" s="5"/>
      <c r="F275" s="5"/>
      <c r="G275" s="5"/>
      <c r="H275" s="5"/>
      <c r="I275" s="6"/>
      <c r="J275" s="5"/>
      <c r="K275" s="5"/>
      <c r="L275" s="7"/>
      <c r="M275" s="7"/>
      <c r="N275" s="5"/>
      <c r="O275" s="8">
        <f>IF(B275="","",IF(AND(G275="Externe",J275&lt;&gt;"Oui"),"Annexer le rapport",IF(AND(K275="Oui",M275=""),"Suites à décider","Complet")))</f>
      </c>
    </row>
    <row r="276" spans="1:15" x14ac:dyDescent="0.25">
      <c r="A276" s="5">
        <v>272</v>
      </c>
      <c r="B276" s="6"/>
      <c r="C276" s="5"/>
      <c r="D276" s="5"/>
      <c r="E276" s="5"/>
      <c r="F276" s="5"/>
      <c r="G276" s="5"/>
      <c r="H276" s="5"/>
      <c r="I276" s="6"/>
      <c r="J276" s="5"/>
      <c r="K276" s="5"/>
      <c r="L276" s="7"/>
      <c r="M276" s="7"/>
      <c r="N276" s="5"/>
      <c r="O276" s="8">
        <f>IF(B276="","",IF(AND(G276="Externe",J276&lt;&gt;"Oui"),"Annexer le rapport",IF(AND(K276="Oui",M276=""),"Suites à décider","Complet")))</f>
      </c>
    </row>
    <row r="277" spans="1:15" x14ac:dyDescent="0.25">
      <c r="A277" s="5">
        <v>273</v>
      </c>
      <c r="B277" s="6"/>
      <c r="C277" s="5"/>
      <c r="D277" s="5"/>
      <c r="E277" s="5"/>
      <c r="F277" s="5"/>
      <c r="G277" s="5"/>
      <c r="H277" s="5"/>
      <c r="I277" s="6"/>
      <c r="J277" s="5"/>
      <c r="K277" s="5"/>
      <c r="L277" s="7"/>
      <c r="M277" s="7"/>
      <c r="N277" s="5"/>
      <c r="O277" s="8">
        <f>IF(B277="","",IF(AND(G277="Externe",J277&lt;&gt;"Oui"),"Annexer le rapport",IF(AND(K277="Oui",M277=""),"Suites à décider","Complet")))</f>
      </c>
    </row>
    <row r="278" spans="1:15" x14ac:dyDescent="0.25">
      <c r="A278" s="5">
        <v>274</v>
      </c>
      <c r="B278" s="6"/>
      <c r="C278" s="5"/>
      <c r="D278" s="5"/>
      <c r="E278" s="5"/>
      <c r="F278" s="5"/>
      <c r="G278" s="5"/>
      <c r="H278" s="5"/>
      <c r="I278" s="6"/>
      <c r="J278" s="5"/>
      <c r="K278" s="5"/>
      <c r="L278" s="7"/>
      <c r="M278" s="7"/>
      <c r="N278" s="5"/>
      <c r="O278" s="8">
        <f>IF(B278="","",IF(AND(G278="Externe",J278&lt;&gt;"Oui"),"Annexer le rapport",IF(AND(K278="Oui",M278=""),"Suites à décider","Complet")))</f>
      </c>
    </row>
    <row r="279" spans="1:15" x14ac:dyDescent="0.25">
      <c r="A279" s="5">
        <v>275</v>
      </c>
      <c r="B279" s="6"/>
      <c r="C279" s="5"/>
      <c r="D279" s="5"/>
      <c r="E279" s="5"/>
      <c r="F279" s="5"/>
      <c r="G279" s="5"/>
      <c r="H279" s="5"/>
      <c r="I279" s="6"/>
      <c r="J279" s="5"/>
      <c r="K279" s="5"/>
      <c r="L279" s="7"/>
      <c r="M279" s="7"/>
      <c r="N279" s="5"/>
      <c r="O279" s="8">
        <f>IF(B279="","",IF(AND(G279="Externe",J279&lt;&gt;"Oui"),"Annexer le rapport",IF(AND(K279="Oui",M279=""),"Suites à décider","Complet")))</f>
      </c>
    </row>
    <row r="280" spans="1:15" x14ac:dyDescent="0.25">
      <c r="A280" s="5">
        <v>276</v>
      </c>
      <c r="B280" s="6"/>
      <c r="C280" s="5"/>
      <c r="D280" s="5"/>
      <c r="E280" s="5"/>
      <c r="F280" s="5"/>
      <c r="G280" s="5"/>
      <c r="H280" s="5"/>
      <c r="I280" s="6"/>
      <c r="J280" s="5"/>
      <c r="K280" s="5"/>
      <c r="L280" s="7"/>
      <c r="M280" s="7"/>
      <c r="N280" s="5"/>
      <c r="O280" s="8">
        <f>IF(B280="","",IF(AND(G280="Externe",J280&lt;&gt;"Oui"),"Annexer le rapport",IF(AND(K280="Oui",M280=""),"Suites à décider","Complet")))</f>
      </c>
    </row>
    <row r="281" spans="1:15" x14ac:dyDescent="0.25">
      <c r="A281" s="5">
        <v>277</v>
      </c>
      <c r="B281" s="6"/>
      <c r="C281" s="5"/>
      <c r="D281" s="5"/>
      <c r="E281" s="5"/>
      <c r="F281" s="5"/>
      <c r="G281" s="5"/>
      <c r="H281" s="5"/>
      <c r="I281" s="6"/>
      <c r="J281" s="5"/>
      <c r="K281" s="5"/>
      <c r="L281" s="7"/>
      <c r="M281" s="7"/>
      <c r="N281" s="5"/>
      <c r="O281" s="8">
        <f>IF(B281="","",IF(AND(G281="Externe",J281&lt;&gt;"Oui"),"Annexer le rapport",IF(AND(K281="Oui",M281=""),"Suites à décider","Complet")))</f>
      </c>
    </row>
    <row r="282" spans="1:15" x14ac:dyDescent="0.25">
      <c r="A282" s="5">
        <v>278</v>
      </c>
      <c r="B282" s="6"/>
      <c r="C282" s="5"/>
      <c r="D282" s="5"/>
      <c r="E282" s="5"/>
      <c r="F282" s="5"/>
      <c r="G282" s="5"/>
      <c r="H282" s="5"/>
      <c r="I282" s="6"/>
      <c r="J282" s="5"/>
      <c r="K282" s="5"/>
      <c r="L282" s="7"/>
      <c r="M282" s="7"/>
      <c r="N282" s="5"/>
      <c r="O282" s="8">
        <f>IF(B282="","",IF(AND(G282="Externe",J282&lt;&gt;"Oui"),"Annexer le rapport",IF(AND(K282="Oui",M282=""),"Suites à décider","Complet")))</f>
      </c>
    </row>
    <row r="283" spans="1:15" x14ac:dyDescent="0.25">
      <c r="A283" s="5">
        <v>279</v>
      </c>
      <c r="B283" s="6"/>
      <c r="C283" s="5"/>
      <c r="D283" s="5"/>
      <c r="E283" s="5"/>
      <c r="F283" s="5"/>
      <c r="G283" s="5"/>
      <c r="H283" s="5"/>
      <c r="I283" s="6"/>
      <c r="J283" s="5"/>
      <c r="K283" s="5"/>
      <c r="L283" s="7"/>
      <c r="M283" s="7"/>
      <c r="N283" s="5"/>
      <c r="O283" s="8">
        <f>IF(B283="","",IF(AND(G283="Externe",J283&lt;&gt;"Oui"),"Annexer le rapport",IF(AND(K283="Oui",M283=""),"Suites à décider","Complet")))</f>
      </c>
    </row>
    <row r="284" spans="1:15" x14ac:dyDescent="0.25">
      <c r="A284" s="5">
        <v>280</v>
      </c>
      <c r="B284" s="6"/>
      <c r="C284" s="5"/>
      <c r="D284" s="5"/>
      <c r="E284" s="5"/>
      <c r="F284" s="5"/>
      <c r="G284" s="5"/>
      <c r="H284" s="5"/>
      <c r="I284" s="6"/>
      <c r="J284" s="5"/>
      <c r="K284" s="5"/>
      <c r="L284" s="7"/>
      <c r="M284" s="7"/>
      <c r="N284" s="5"/>
      <c r="O284" s="8">
        <f>IF(B284="","",IF(AND(G284="Externe",J284&lt;&gt;"Oui"),"Annexer le rapport",IF(AND(K284="Oui",M284=""),"Suites à décider","Complet")))</f>
      </c>
    </row>
    <row r="285" spans="1:15" x14ac:dyDescent="0.25">
      <c r="A285" s="5">
        <v>281</v>
      </c>
      <c r="B285" s="6"/>
      <c r="C285" s="5"/>
      <c r="D285" s="5"/>
      <c r="E285" s="5"/>
      <c r="F285" s="5"/>
      <c r="G285" s="5"/>
      <c r="H285" s="5"/>
      <c r="I285" s="6"/>
      <c r="J285" s="5"/>
      <c r="K285" s="5"/>
      <c r="L285" s="7"/>
      <c r="M285" s="7"/>
      <c r="N285" s="5"/>
      <c r="O285" s="8">
        <f>IF(B285="","",IF(AND(G285="Externe",J285&lt;&gt;"Oui"),"Annexer le rapport",IF(AND(K285="Oui",M285=""),"Suites à décider","Complet")))</f>
      </c>
    </row>
    <row r="286" spans="1:15" x14ac:dyDescent="0.25">
      <c r="A286" s="5">
        <v>282</v>
      </c>
      <c r="B286" s="6"/>
      <c r="C286" s="5"/>
      <c r="D286" s="5"/>
      <c r="E286" s="5"/>
      <c r="F286" s="5"/>
      <c r="G286" s="5"/>
      <c r="H286" s="5"/>
      <c r="I286" s="6"/>
      <c r="J286" s="5"/>
      <c r="K286" s="5"/>
      <c r="L286" s="7"/>
      <c r="M286" s="7"/>
      <c r="N286" s="5"/>
      <c r="O286" s="8">
        <f>IF(B286="","",IF(AND(G286="Externe",J286&lt;&gt;"Oui"),"Annexer le rapport",IF(AND(K286="Oui",M286=""),"Suites à décider","Complet")))</f>
      </c>
    </row>
    <row r="287" spans="1:15" x14ac:dyDescent="0.25">
      <c r="A287" s="5">
        <v>283</v>
      </c>
      <c r="B287" s="6"/>
      <c r="C287" s="5"/>
      <c r="D287" s="5"/>
      <c r="E287" s="5"/>
      <c r="F287" s="5"/>
      <c r="G287" s="5"/>
      <c r="H287" s="5"/>
      <c r="I287" s="6"/>
      <c r="J287" s="5"/>
      <c r="K287" s="5"/>
      <c r="L287" s="7"/>
      <c r="M287" s="7"/>
      <c r="N287" s="5"/>
      <c r="O287" s="8">
        <f>IF(B287="","",IF(AND(G287="Externe",J287&lt;&gt;"Oui"),"Annexer le rapport",IF(AND(K287="Oui",M287=""),"Suites à décider","Complet")))</f>
      </c>
    </row>
    <row r="288" spans="1:15" x14ac:dyDescent="0.25">
      <c r="A288" s="5">
        <v>284</v>
      </c>
      <c r="B288" s="6"/>
      <c r="C288" s="5"/>
      <c r="D288" s="5"/>
      <c r="E288" s="5"/>
      <c r="F288" s="5"/>
      <c r="G288" s="5"/>
      <c r="H288" s="5"/>
      <c r="I288" s="6"/>
      <c r="J288" s="5"/>
      <c r="K288" s="5"/>
      <c r="L288" s="7"/>
      <c r="M288" s="7"/>
      <c r="N288" s="5"/>
      <c r="O288" s="8">
        <f>IF(B288="","",IF(AND(G288="Externe",J288&lt;&gt;"Oui"),"Annexer le rapport",IF(AND(K288="Oui",M288=""),"Suites à décider","Complet")))</f>
      </c>
    </row>
    <row r="289" spans="1:15" x14ac:dyDescent="0.25">
      <c r="A289" s="5">
        <v>285</v>
      </c>
      <c r="B289" s="6"/>
      <c r="C289" s="5"/>
      <c r="D289" s="5"/>
      <c r="E289" s="5"/>
      <c r="F289" s="5"/>
      <c r="G289" s="5"/>
      <c r="H289" s="5"/>
      <c r="I289" s="6"/>
      <c r="J289" s="5"/>
      <c r="K289" s="5"/>
      <c r="L289" s="7"/>
      <c r="M289" s="7"/>
      <c r="N289" s="5"/>
      <c r="O289" s="8">
        <f>IF(B289="","",IF(AND(G289="Externe",J289&lt;&gt;"Oui"),"Annexer le rapport",IF(AND(K289="Oui",M289=""),"Suites à décider","Complet")))</f>
      </c>
    </row>
    <row r="290" spans="1:15" x14ac:dyDescent="0.25">
      <c r="A290" s="5">
        <v>286</v>
      </c>
      <c r="B290" s="6"/>
      <c r="C290" s="5"/>
      <c r="D290" s="5"/>
      <c r="E290" s="5"/>
      <c r="F290" s="5"/>
      <c r="G290" s="5"/>
      <c r="H290" s="5"/>
      <c r="I290" s="6"/>
      <c r="J290" s="5"/>
      <c r="K290" s="5"/>
      <c r="L290" s="7"/>
      <c r="M290" s="7"/>
      <c r="N290" s="5"/>
      <c r="O290" s="8">
        <f>IF(B290="","",IF(AND(G290="Externe",J290&lt;&gt;"Oui"),"Annexer le rapport",IF(AND(K290="Oui",M290=""),"Suites à décider","Complet")))</f>
      </c>
    </row>
    <row r="291" spans="1:15" x14ac:dyDescent="0.25">
      <c r="A291" s="5">
        <v>287</v>
      </c>
      <c r="B291" s="6"/>
      <c r="C291" s="5"/>
      <c r="D291" s="5"/>
      <c r="E291" s="5"/>
      <c r="F291" s="5"/>
      <c r="G291" s="5"/>
      <c r="H291" s="5"/>
      <c r="I291" s="6"/>
      <c r="J291" s="5"/>
      <c r="K291" s="5"/>
      <c r="L291" s="7"/>
      <c r="M291" s="7"/>
      <c r="N291" s="5"/>
      <c r="O291" s="8">
        <f>IF(B291="","",IF(AND(G291="Externe",J291&lt;&gt;"Oui"),"Annexer le rapport",IF(AND(K291="Oui",M291=""),"Suites à décider","Complet")))</f>
      </c>
    </row>
    <row r="292" spans="1:15" x14ac:dyDescent="0.25">
      <c r="A292" s="5">
        <v>288</v>
      </c>
      <c r="B292" s="6"/>
      <c r="C292" s="5"/>
      <c r="D292" s="5"/>
      <c r="E292" s="5"/>
      <c r="F292" s="5"/>
      <c r="G292" s="5"/>
      <c r="H292" s="5"/>
      <c r="I292" s="6"/>
      <c r="J292" s="5"/>
      <c r="K292" s="5"/>
      <c r="L292" s="7"/>
      <c r="M292" s="7"/>
      <c r="N292" s="5"/>
      <c r="O292" s="8">
        <f>IF(B292="","",IF(AND(G292="Externe",J292&lt;&gt;"Oui"),"Annexer le rapport",IF(AND(K292="Oui",M292=""),"Suites à décider","Complet")))</f>
      </c>
    </row>
    <row r="293" spans="1:15" x14ac:dyDescent="0.25">
      <c r="A293" s="5">
        <v>289</v>
      </c>
      <c r="B293" s="6"/>
      <c r="C293" s="5"/>
      <c r="D293" s="5"/>
      <c r="E293" s="5"/>
      <c r="F293" s="5"/>
      <c r="G293" s="5"/>
      <c r="H293" s="5"/>
      <c r="I293" s="6"/>
      <c r="J293" s="5"/>
      <c r="K293" s="5"/>
      <c r="L293" s="7"/>
      <c r="M293" s="7"/>
      <c r="N293" s="5"/>
      <c r="O293" s="8">
        <f>IF(B293="","",IF(AND(G293="Externe",J293&lt;&gt;"Oui"),"Annexer le rapport",IF(AND(K293="Oui",M293=""),"Suites à décider","Complet")))</f>
      </c>
    </row>
    <row r="294" spans="1:15" x14ac:dyDescent="0.25">
      <c r="A294" s="5">
        <v>290</v>
      </c>
      <c r="B294" s="6"/>
      <c r="C294" s="5"/>
      <c r="D294" s="5"/>
      <c r="E294" s="5"/>
      <c r="F294" s="5"/>
      <c r="G294" s="5"/>
      <c r="H294" s="5"/>
      <c r="I294" s="6"/>
      <c r="J294" s="5"/>
      <c r="K294" s="5"/>
      <c r="L294" s="7"/>
      <c r="M294" s="7"/>
      <c r="N294" s="5"/>
      <c r="O294" s="8">
        <f>IF(B294="","",IF(AND(G294="Externe",J294&lt;&gt;"Oui"),"Annexer le rapport",IF(AND(K294="Oui",M294=""),"Suites à décider","Complet")))</f>
      </c>
    </row>
    <row r="295" spans="1:15" x14ac:dyDescent="0.25">
      <c r="A295" s="5">
        <v>291</v>
      </c>
      <c r="B295" s="6"/>
      <c r="C295" s="5"/>
      <c r="D295" s="5"/>
      <c r="E295" s="5"/>
      <c r="F295" s="5"/>
      <c r="G295" s="5"/>
      <c r="H295" s="5"/>
      <c r="I295" s="6"/>
      <c r="J295" s="5"/>
      <c r="K295" s="5"/>
      <c r="L295" s="7"/>
      <c r="M295" s="7"/>
      <c r="N295" s="5"/>
      <c r="O295" s="8">
        <f>IF(B295="","",IF(AND(G295="Externe",J295&lt;&gt;"Oui"),"Annexer le rapport",IF(AND(K295="Oui",M295=""),"Suites à décider","Complet")))</f>
      </c>
    </row>
    <row r="296" spans="1:15" x14ac:dyDescent="0.25">
      <c r="A296" s="5">
        <v>292</v>
      </c>
      <c r="B296" s="6"/>
      <c r="C296" s="5"/>
      <c r="D296" s="5"/>
      <c r="E296" s="5"/>
      <c r="F296" s="5"/>
      <c r="G296" s="5"/>
      <c r="H296" s="5"/>
      <c r="I296" s="6"/>
      <c r="J296" s="5"/>
      <c r="K296" s="5"/>
      <c r="L296" s="7"/>
      <c r="M296" s="7"/>
      <c r="N296" s="5"/>
      <c r="O296" s="8">
        <f>IF(B296="","",IF(AND(G296="Externe",J296&lt;&gt;"Oui"),"Annexer le rapport",IF(AND(K296="Oui",M296=""),"Suites à décider","Complet")))</f>
      </c>
    </row>
    <row r="297" spans="1:15" x14ac:dyDescent="0.25">
      <c r="A297" s="5">
        <v>293</v>
      </c>
      <c r="B297" s="6"/>
      <c r="C297" s="5"/>
      <c r="D297" s="5"/>
      <c r="E297" s="5"/>
      <c r="F297" s="5"/>
      <c r="G297" s="5"/>
      <c r="H297" s="5"/>
      <c r="I297" s="6"/>
      <c r="J297" s="5"/>
      <c r="K297" s="5"/>
      <c r="L297" s="7"/>
      <c r="M297" s="7"/>
      <c r="N297" s="5"/>
      <c r="O297" s="8">
        <f>IF(B297="","",IF(AND(G297="Externe",J297&lt;&gt;"Oui"),"Annexer le rapport",IF(AND(K297="Oui",M297=""),"Suites à décider","Complet")))</f>
      </c>
    </row>
    <row r="298" spans="1:15" x14ac:dyDescent="0.25">
      <c r="A298" s="5">
        <v>294</v>
      </c>
      <c r="B298" s="6"/>
      <c r="C298" s="5"/>
      <c r="D298" s="5"/>
      <c r="E298" s="5"/>
      <c r="F298" s="5"/>
      <c r="G298" s="5"/>
      <c r="H298" s="5"/>
      <c r="I298" s="6"/>
      <c r="J298" s="5"/>
      <c r="K298" s="5"/>
      <c r="L298" s="7"/>
      <c r="M298" s="7"/>
      <c r="N298" s="5"/>
      <c r="O298" s="8">
        <f>IF(B298="","",IF(AND(G298="Externe",J298&lt;&gt;"Oui"),"Annexer le rapport",IF(AND(K298="Oui",M298=""),"Suites à décider","Complet")))</f>
      </c>
    </row>
    <row r="299" spans="1:15" x14ac:dyDescent="0.25">
      <c r="A299" s="5">
        <v>295</v>
      </c>
      <c r="B299" s="6"/>
      <c r="C299" s="5"/>
      <c r="D299" s="5"/>
      <c r="E299" s="5"/>
      <c r="F299" s="5"/>
      <c r="G299" s="5"/>
      <c r="H299" s="5"/>
      <c r="I299" s="6"/>
      <c r="J299" s="5"/>
      <c r="K299" s="5"/>
      <c r="L299" s="7"/>
      <c r="M299" s="7"/>
      <c r="N299" s="5"/>
      <c r="O299" s="8">
        <f>IF(B299="","",IF(AND(G299="Externe",J299&lt;&gt;"Oui"),"Annexer le rapport",IF(AND(K299="Oui",M299=""),"Suites à décider","Complet")))</f>
      </c>
    </row>
    <row r="300" spans="1:15" x14ac:dyDescent="0.25">
      <c r="A300" s="5">
        <v>296</v>
      </c>
      <c r="B300" s="6"/>
      <c r="C300" s="5"/>
      <c r="D300" s="5"/>
      <c r="E300" s="5"/>
      <c r="F300" s="5"/>
      <c r="G300" s="5"/>
      <c r="H300" s="5"/>
      <c r="I300" s="6"/>
      <c r="J300" s="5"/>
      <c r="K300" s="5"/>
      <c r="L300" s="7"/>
      <c r="M300" s="7"/>
      <c r="N300" s="5"/>
      <c r="O300" s="8">
        <f>IF(B300="","",IF(AND(G300="Externe",J300&lt;&gt;"Oui"),"Annexer le rapport",IF(AND(K300="Oui",M300=""),"Suites à décider","Complet")))</f>
      </c>
    </row>
    <row r="301" spans="1:15" x14ac:dyDescent="0.25">
      <c r="A301" s="5">
        <v>297</v>
      </c>
      <c r="B301" s="6"/>
      <c r="C301" s="5"/>
      <c r="D301" s="5"/>
      <c r="E301" s="5"/>
      <c r="F301" s="5"/>
      <c r="G301" s="5"/>
      <c r="H301" s="5"/>
      <c r="I301" s="6"/>
      <c r="J301" s="5"/>
      <c r="K301" s="5"/>
      <c r="L301" s="7"/>
      <c r="M301" s="7"/>
      <c r="N301" s="5"/>
      <c r="O301" s="8">
        <f>IF(B301="","",IF(AND(G301="Externe",J301&lt;&gt;"Oui"),"Annexer le rapport",IF(AND(K301="Oui",M301=""),"Suites à décider","Complet")))</f>
      </c>
    </row>
    <row r="302" spans="1:15" x14ac:dyDescent="0.25">
      <c r="A302" s="5">
        <v>298</v>
      </c>
      <c r="B302" s="6"/>
      <c r="C302" s="5"/>
      <c r="D302" s="5"/>
      <c r="E302" s="5"/>
      <c r="F302" s="5"/>
      <c r="G302" s="5"/>
      <c r="H302" s="5"/>
      <c r="I302" s="6"/>
      <c r="J302" s="5"/>
      <c r="K302" s="5"/>
      <c r="L302" s="7"/>
      <c r="M302" s="7"/>
      <c r="N302" s="5"/>
      <c r="O302" s="8">
        <f>IF(B302="","",IF(AND(G302="Externe",J302&lt;&gt;"Oui"),"Annexer le rapport",IF(AND(K302="Oui",M302=""),"Suites à décider","Complet")))</f>
      </c>
    </row>
    <row r="303" spans="1:15" x14ac:dyDescent="0.25">
      <c r="A303" s="5">
        <v>299</v>
      </c>
      <c r="B303" s="6"/>
      <c r="C303" s="5"/>
      <c r="D303" s="5"/>
      <c r="E303" s="5"/>
      <c r="F303" s="5"/>
      <c r="G303" s="5"/>
      <c r="H303" s="5"/>
      <c r="I303" s="6"/>
      <c r="J303" s="5"/>
      <c r="K303" s="5"/>
      <c r="L303" s="7"/>
      <c r="M303" s="7"/>
      <c r="N303" s="5"/>
      <c r="O303" s="8">
        <f>IF(B303="","",IF(AND(G303="Externe",J303&lt;&gt;"Oui"),"Annexer le rapport",IF(AND(K303="Oui",M303=""),"Suites à décider","Complet")))</f>
      </c>
    </row>
    <row r="304" spans="1:15" x14ac:dyDescent="0.25">
      <c r="A304" s="5">
        <v>300</v>
      </c>
      <c r="B304" s="6"/>
      <c r="C304" s="5"/>
      <c r="D304" s="5"/>
      <c r="E304" s="5"/>
      <c r="F304" s="5"/>
      <c r="G304" s="5"/>
      <c r="H304" s="5"/>
      <c r="I304" s="6"/>
      <c r="J304" s="5"/>
      <c r="K304" s="5"/>
      <c r="L304" s="7"/>
      <c r="M304" s="7"/>
      <c r="N304" s="5"/>
      <c r="O304" s="8">
        <f>IF(B304="","",IF(AND(G304="Externe",J304&lt;&gt;"Oui"),"Annexer le rapport",IF(AND(K304="Oui",M304=""),"Suites à décider","Complet")))</f>
      </c>
    </row>
  </sheetData>
  <autoFilter ref="A4:O304"/>
  <mergeCells count="2">
    <mergeCell ref="A1:O1"/>
    <mergeCell ref="A2:O2"/>
  </mergeCells>
  <conditionalFormatting sqref="O5:O304">
    <cfRule type="expression" dxfId="0" priority="1">
      <formula>$O5="Annexer le rapport"</formula>
    </cfRule>
    <cfRule type="expression" dxfId="1" priority="2">
      <formula>$O5="Suites à décider"</formula>
    </cfRule>
    <cfRule type="expression" dxfId="2" priority="3">
      <formula>$O5="Complet"</formula>
    </cfRule>
  </conditionalFormatting>
  <dataValidations count="7">
    <dataValidation type="date" operator="greaterThan" allowBlank="1" showErrorMessage="1" errorTitle="Date attendue" error="Saisissez une date, par exemple 12/03/2026." sqref="B5:B304">
      <formula1>36526</formula1>
    </dataValidation>
    <dataValidation type="list" allowBlank="1" sqref="D5:D304">
      <formula1>"Chariot élévateur,Gerbeur,Nacelle (PEMP),Pont roulant palan potence,Grue auxiliaire et grue mobile,Hayon élévateur,Engin de chantier,Accessoires de levage"</formula1>
    </dataValidation>
    <dataValidation type="list" allowBlank="1" sqref="E5:E304">
      <formula1>"Mise en service,Périodique,Remise en service"</formula1>
    </dataValidation>
    <dataValidation type="list" allowBlank="1" sqref="G5:G304">
      <formula1>"Interne,Externe"</formula1>
    </dataValidation>
    <dataValidation type="date" operator="greaterThan" allowBlank="1" showErrorMessage="1" errorTitle="Date attendue" error="Saisissez une date, par exemple 12/03/2026." sqref="I5:I304">
      <formula1>36526</formula1>
    </dataValidation>
    <dataValidation type="list" allowBlank="1" sqref="J5:J304">
      <formula1>"Oui,Non"</formula1>
    </dataValidation>
    <dataValidation type="list" allowBlank="1" sqref="K5:K304">
      <formula1>"Oui,Non"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&amp;Lmodele-vgp.fr&amp;RPage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48" customWidth="1"/>
    <col min="2" max="2" width="22" customWidth="1"/>
  </cols>
  <sheetData>
    <row r="1" spans="1:1" x14ac:dyDescent="0.25">
      <c r="A1" s="1" t="s">
        <v>17</v>
      </c>
    </row>
    <row r="2" spans="1:1" x14ac:dyDescent="0.25">
      <c r="A2" s="3">
        <f>"Situation au "&amp;TEXT(TODAY(),"dd/mm/yyyy")</f>
      </c>
    </row>
    <row r="4" ht="30" customHeight="1" spans="1:2" x14ac:dyDescent="0.25">
      <c r="A4" s="9" t="s">
        <v>18</v>
      </c>
      <c r="B4" s="10">
        <f>COUNT('Registre'!$B$5:$B$304)</f>
      </c>
    </row>
    <row r="5" ht="30" customHeight="1" spans="1:2" x14ac:dyDescent="0.25">
      <c r="A5" s="9" t="s">
        <v>19</v>
      </c>
      <c r="B5" s="11">
        <f>COUNTIF('Registre'!$O$5:$O$304,"Annexer le rapport")</f>
      </c>
    </row>
    <row r="6" ht="30" customHeight="1" spans="1:2" x14ac:dyDescent="0.25">
      <c r="A6" s="9" t="s">
        <v>20</v>
      </c>
      <c r="B6" s="11">
        <f>COUNTIF('Registre'!$O$5:$O$304,"Suites à décider")</f>
      </c>
    </row>
    <row r="7" ht="30" customHeight="1" spans="1:2" x14ac:dyDescent="0.25">
      <c r="A7" s="9" t="s">
        <v>21</v>
      </c>
      <c r="B7" s="12">
        <f>COUNTIF('Registre'!$O$5:$O$304,"Complet")</f>
      </c>
    </row>
    <row r="8" ht="30" customHeight="1" spans="1:2" x14ac:dyDescent="0.25">
      <c r="A8" s="9" t="s">
        <v>22</v>
      </c>
      <c r="B8" s="13">
        <f>IF(COUNT('Registre'!$B$5:$B$304)=0,"Aucune",MAX('Registre'!$B$5:$B$304))</f>
      </c>
    </row>
    <row r="10" spans="1:1" x14ac:dyDescent="0.25">
      <c r="A10" s="1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oddFooter>&amp;Lmodele-vgp.fr&amp;RPage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4" customWidth="1"/>
    <col min="4" max="4" width="26" customWidth="1"/>
    <col min="5" max="5" width="18" customWidth="1"/>
    <col min="6" max="6" width="26" customWidth="1"/>
    <col min="7" max="7" width="12" customWidth="1"/>
    <col min="8" max="9" width="14" customWidth="1"/>
    <col min="10" max="11" width="12" customWidth="1"/>
    <col min="12" max="12" width="34" customWidth="1"/>
    <col min="13" max="13" width="30" customWidth="1"/>
    <col min="14" max="15" width="22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" x14ac:dyDescent="0.25">
      <c r="A3" s="3">
        <f>"Situation au "&amp;TEXT(TODAY(),"dd/mm/yyyy")</f>
      </c>
    </row>
    <row r="4" ht="32" customHeight="1" spans="1:1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x14ac:dyDescent="0.25">
      <c r="A5" s="5">
        <v>1</v>
      </c>
      <c r="B5" s="6">
        <f>TODAY()-60</f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  <c r="I5" s="6">
        <f>TODAY()-58</f>
      </c>
      <c r="J5" s="5" t="s">
        <v>30</v>
      </c>
      <c r="K5" s="5" t="s">
        <v>31</v>
      </c>
      <c r="L5" s="7"/>
      <c r="M5" s="7"/>
      <c r="N5" s="5" t="s">
        <v>32</v>
      </c>
      <c r="O5" s="8">
        <f>IF(B5="","",IF(AND(G5="Externe",J5&lt;&gt;"Oui"),"Annexer le rapport",IF(AND(K5="Oui",M5=""),"Suites à décider","Complet")))</f>
      </c>
    </row>
    <row r="6" spans="1:15" x14ac:dyDescent="0.25">
      <c r="A6" s="5">
        <v>2</v>
      </c>
      <c r="B6" s="6">
        <f>TODAY()-20</f>
      </c>
      <c r="C6" s="5" t="s">
        <v>33</v>
      </c>
      <c r="D6" s="5" t="s">
        <v>34</v>
      </c>
      <c r="E6" s="5" t="s">
        <v>26</v>
      </c>
      <c r="F6" s="5" t="s">
        <v>27</v>
      </c>
      <c r="G6" s="5" t="s">
        <v>28</v>
      </c>
      <c r="H6" s="5" t="s">
        <v>35</v>
      </c>
      <c r="I6" s="6">
        <f>TODAY()-18</f>
      </c>
      <c r="J6" s="5" t="s">
        <v>30</v>
      </c>
      <c r="K6" s="5" t="s">
        <v>30</v>
      </c>
      <c r="L6" s="7" t="s">
        <v>36</v>
      </c>
      <c r="M6" s="7" t="s">
        <v>37</v>
      </c>
      <c r="N6" s="5" t="s">
        <v>32</v>
      </c>
      <c r="O6" s="8">
        <f>IF(B6="","",IF(AND(G6="Externe",J6&lt;&gt;"Oui"),"Annexer le rapport",IF(AND(K6="Oui",M6=""),"Suites à décider","Complet")))</f>
      </c>
    </row>
    <row r="7" spans="1:15" x14ac:dyDescent="0.25">
      <c r="A7" s="5">
        <v>3</v>
      </c>
      <c r="B7" s="6">
        <f>TODAY()-5</f>
      </c>
      <c r="C7" s="5" t="s">
        <v>38</v>
      </c>
      <c r="D7" s="5" t="s">
        <v>39</v>
      </c>
      <c r="E7" s="5" t="s">
        <v>40</v>
      </c>
      <c r="F7" s="5" t="s">
        <v>41</v>
      </c>
      <c r="G7" s="5" t="s">
        <v>42</v>
      </c>
      <c r="H7" s="5" t="s">
        <v>43</v>
      </c>
      <c r="I7" s="6">
        <f>TODAY()-5</f>
      </c>
      <c r="J7" s="5" t="s">
        <v>31</v>
      </c>
      <c r="K7" s="5" t="s">
        <v>30</v>
      </c>
      <c r="L7" s="7" t="s">
        <v>44</v>
      </c>
      <c r="M7" s="7"/>
      <c r="N7" s="5" t="s">
        <v>45</v>
      </c>
      <c r="O7" s="8">
        <f>IF(B7="","",IF(AND(G7="Externe",J7&lt;&gt;"Oui"),"Annexer le rapport",IF(AND(K7="Oui",M7=""),"Suites à décider","Complet")))</f>
      </c>
    </row>
    <row r="8" spans="1:15" x14ac:dyDescent="0.25">
      <c r="A8" s="5">
        <v>4</v>
      </c>
      <c r="B8" s="6"/>
      <c r="C8" s="5"/>
      <c r="D8" s="5"/>
      <c r="E8" s="5"/>
      <c r="F8" s="5"/>
      <c r="G8" s="5"/>
      <c r="H8" s="5"/>
      <c r="I8" s="6"/>
      <c r="J8" s="5"/>
      <c r="K8" s="5"/>
      <c r="L8" s="7"/>
      <c r="M8" s="7"/>
      <c r="N8" s="5"/>
      <c r="O8" s="8">
        <f>IF(B8="","",IF(AND(G8="Externe",J8&lt;&gt;"Oui"),"Annexer le rapport",IF(AND(K8="Oui",M8=""),"Suites à décider","Complet")))</f>
      </c>
    </row>
    <row r="9" spans="1:15" x14ac:dyDescent="0.25">
      <c r="A9" s="5">
        <v>5</v>
      </c>
      <c r="B9" s="6"/>
      <c r="C9" s="5"/>
      <c r="D9" s="5"/>
      <c r="E9" s="5"/>
      <c r="F9" s="5"/>
      <c r="G9" s="5"/>
      <c r="H9" s="5"/>
      <c r="I9" s="6"/>
      <c r="J9" s="5"/>
      <c r="K9" s="5"/>
      <c r="L9" s="7"/>
      <c r="M9" s="7"/>
      <c r="N9" s="5"/>
      <c r="O9" s="8">
        <f>IF(B9="","",IF(AND(G9="Externe",J9&lt;&gt;"Oui"),"Annexer le rapport",IF(AND(K9="Oui",M9=""),"Suites à décider","Complet")))</f>
      </c>
    </row>
    <row r="10" spans="1:15" x14ac:dyDescent="0.25">
      <c r="A10" s="5">
        <v>6</v>
      </c>
      <c r="B10" s="6"/>
      <c r="C10" s="5"/>
      <c r="D10" s="5"/>
      <c r="E10" s="5"/>
      <c r="F10" s="5"/>
      <c r="G10" s="5"/>
      <c r="H10" s="5"/>
      <c r="I10" s="6"/>
      <c r="J10" s="5"/>
      <c r="K10" s="5"/>
      <c r="L10" s="7"/>
      <c r="M10" s="7"/>
      <c r="N10" s="5"/>
      <c r="O10" s="8">
        <f>IF(B10="","",IF(AND(G10="Externe",J10&lt;&gt;"Oui"),"Annexer le rapport",IF(AND(K10="Oui",M10=""),"Suites à décider","Complet")))</f>
      </c>
    </row>
    <row r="11" spans="1:15" x14ac:dyDescent="0.25">
      <c r="A11" s="5">
        <v>7</v>
      </c>
      <c r="B11" s="6"/>
      <c r="C11" s="5"/>
      <c r="D11" s="5"/>
      <c r="E11" s="5"/>
      <c r="F11" s="5"/>
      <c r="G11" s="5"/>
      <c r="H11" s="5"/>
      <c r="I11" s="6"/>
      <c r="J11" s="5"/>
      <c r="K11" s="5"/>
      <c r="L11" s="7"/>
      <c r="M11" s="7"/>
      <c r="N11" s="5"/>
      <c r="O11" s="8">
        <f>IF(B11="","",IF(AND(G11="Externe",J11&lt;&gt;"Oui"),"Annexer le rapport",IF(AND(K11="Oui",M11=""),"Suites à décider","Complet")))</f>
      </c>
    </row>
    <row r="12" spans="1:15" x14ac:dyDescent="0.25">
      <c r="A12" s="5">
        <v>8</v>
      </c>
      <c r="B12" s="6"/>
      <c r="C12" s="5"/>
      <c r="D12" s="5"/>
      <c r="E12" s="5"/>
      <c r="F12" s="5"/>
      <c r="G12" s="5"/>
      <c r="H12" s="5"/>
      <c r="I12" s="6"/>
      <c r="J12" s="5"/>
      <c r="K12" s="5"/>
      <c r="L12" s="7"/>
      <c r="M12" s="7"/>
      <c r="N12" s="5"/>
      <c r="O12" s="8">
        <f>IF(B12="","",IF(AND(G12="Externe",J12&lt;&gt;"Oui"),"Annexer le rapport",IF(AND(K12="Oui",M12=""),"Suites à décider","Complet")))</f>
      </c>
    </row>
    <row r="13" spans="1:15" x14ac:dyDescent="0.25">
      <c r="A13" s="5">
        <v>9</v>
      </c>
      <c r="B13" s="6"/>
      <c r="C13" s="5"/>
      <c r="D13" s="5"/>
      <c r="E13" s="5"/>
      <c r="F13" s="5"/>
      <c r="G13" s="5"/>
      <c r="H13" s="5"/>
      <c r="I13" s="6"/>
      <c r="J13" s="5"/>
      <c r="K13" s="5"/>
      <c r="L13" s="7"/>
      <c r="M13" s="7"/>
      <c r="N13" s="5"/>
      <c r="O13" s="8">
        <f>IF(B13="","",IF(AND(G13="Externe",J13&lt;&gt;"Oui"),"Annexer le rapport",IF(AND(K13="Oui",M13=""),"Suites à décider","Complet")))</f>
      </c>
    </row>
    <row r="14" spans="1:15" x14ac:dyDescent="0.25">
      <c r="A14" s="5">
        <v>10</v>
      </c>
      <c r="B14" s="6"/>
      <c r="C14" s="5"/>
      <c r="D14" s="5"/>
      <c r="E14" s="5"/>
      <c r="F14" s="5"/>
      <c r="G14" s="5"/>
      <c r="H14" s="5"/>
      <c r="I14" s="6"/>
      <c r="J14" s="5"/>
      <c r="K14" s="5"/>
      <c r="L14" s="7"/>
      <c r="M14" s="7"/>
      <c r="N14" s="5"/>
      <c r="O14" s="8">
        <f>IF(B14="","",IF(AND(G14="Externe",J14&lt;&gt;"Oui"),"Annexer le rapport",IF(AND(K14="Oui",M14=""),"Suites à décider","Complet")))</f>
      </c>
    </row>
    <row r="15" spans="1:15" x14ac:dyDescent="0.25">
      <c r="A15" s="5">
        <v>11</v>
      </c>
      <c r="B15" s="6"/>
      <c r="C15" s="5"/>
      <c r="D15" s="5"/>
      <c r="E15" s="5"/>
      <c r="F15" s="5"/>
      <c r="G15" s="5"/>
      <c r="H15" s="5"/>
      <c r="I15" s="6"/>
      <c r="J15" s="5"/>
      <c r="K15" s="5"/>
      <c r="L15" s="7"/>
      <c r="M15" s="7"/>
      <c r="N15" s="5"/>
      <c r="O15" s="8">
        <f>IF(B15="","",IF(AND(G15="Externe",J15&lt;&gt;"Oui"),"Annexer le rapport",IF(AND(K15="Oui",M15=""),"Suites à décider","Complet")))</f>
      </c>
    </row>
    <row r="16" spans="1:15" x14ac:dyDescent="0.25">
      <c r="A16" s="5">
        <v>12</v>
      </c>
      <c r="B16" s="6"/>
      <c r="C16" s="5"/>
      <c r="D16" s="5"/>
      <c r="E16" s="5"/>
      <c r="F16" s="5"/>
      <c r="G16" s="5"/>
      <c r="H16" s="5"/>
      <c r="I16" s="6"/>
      <c r="J16" s="5"/>
      <c r="K16" s="5"/>
      <c r="L16" s="7"/>
      <c r="M16" s="7"/>
      <c r="N16" s="5"/>
      <c r="O16" s="8">
        <f>IF(B16="","",IF(AND(G16="Externe",J16&lt;&gt;"Oui"),"Annexer le rapport",IF(AND(K16="Oui",M16=""),"Suites à décider","Complet")))</f>
      </c>
    </row>
    <row r="17" spans="1:15" x14ac:dyDescent="0.25">
      <c r="A17" s="5">
        <v>13</v>
      </c>
      <c r="B17" s="6"/>
      <c r="C17" s="5"/>
      <c r="D17" s="5"/>
      <c r="E17" s="5"/>
      <c r="F17" s="5"/>
      <c r="G17" s="5"/>
      <c r="H17" s="5"/>
      <c r="I17" s="6"/>
      <c r="J17" s="5"/>
      <c r="K17" s="5"/>
      <c r="L17" s="7"/>
      <c r="M17" s="7"/>
      <c r="N17" s="5"/>
      <c r="O17" s="8">
        <f>IF(B17="","",IF(AND(G17="Externe",J17&lt;&gt;"Oui"),"Annexer le rapport",IF(AND(K17="Oui",M17=""),"Suites à décider","Complet")))</f>
      </c>
    </row>
    <row r="18" spans="1:15" x14ac:dyDescent="0.25">
      <c r="A18" s="5">
        <v>14</v>
      </c>
      <c r="B18" s="6"/>
      <c r="C18" s="5"/>
      <c r="D18" s="5"/>
      <c r="E18" s="5"/>
      <c r="F18" s="5"/>
      <c r="G18" s="5"/>
      <c r="H18" s="5"/>
      <c r="I18" s="6"/>
      <c r="J18" s="5"/>
      <c r="K18" s="5"/>
      <c r="L18" s="7"/>
      <c r="M18" s="7"/>
      <c r="N18" s="5"/>
      <c r="O18" s="8">
        <f>IF(B18="","",IF(AND(G18="Externe",J18&lt;&gt;"Oui"),"Annexer le rapport",IF(AND(K18="Oui",M18=""),"Suites à décider","Complet")))</f>
      </c>
    </row>
    <row r="19" spans="1:15" x14ac:dyDescent="0.25">
      <c r="A19" s="5">
        <v>15</v>
      </c>
      <c r="B19" s="6"/>
      <c r="C19" s="5"/>
      <c r="D19" s="5"/>
      <c r="E19" s="5"/>
      <c r="F19" s="5"/>
      <c r="G19" s="5"/>
      <c r="H19" s="5"/>
      <c r="I19" s="6"/>
      <c r="J19" s="5"/>
      <c r="K19" s="5"/>
      <c r="L19" s="7"/>
      <c r="M19" s="7"/>
      <c r="N19" s="5"/>
      <c r="O19" s="8">
        <f>IF(B19="","",IF(AND(G19="Externe",J19&lt;&gt;"Oui"),"Annexer le rapport",IF(AND(K19="Oui",M19=""),"Suites à décider","Complet")))</f>
      </c>
    </row>
    <row r="20" spans="1:15" x14ac:dyDescent="0.25">
      <c r="A20" s="5">
        <v>16</v>
      </c>
      <c r="B20" s="6"/>
      <c r="C20" s="5"/>
      <c r="D20" s="5"/>
      <c r="E20" s="5"/>
      <c r="F20" s="5"/>
      <c r="G20" s="5"/>
      <c r="H20" s="5"/>
      <c r="I20" s="6"/>
      <c r="J20" s="5"/>
      <c r="K20" s="5"/>
      <c r="L20" s="7"/>
      <c r="M20" s="7"/>
      <c r="N20" s="5"/>
      <c r="O20" s="8">
        <f>IF(B20="","",IF(AND(G20="Externe",J20&lt;&gt;"Oui"),"Annexer le rapport",IF(AND(K20="Oui",M20=""),"Suites à décider","Complet")))</f>
      </c>
    </row>
    <row r="21" spans="1:15" x14ac:dyDescent="0.25">
      <c r="A21" s="5">
        <v>17</v>
      </c>
      <c r="B21" s="6"/>
      <c r="C21" s="5"/>
      <c r="D21" s="5"/>
      <c r="E21" s="5"/>
      <c r="F21" s="5"/>
      <c r="G21" s="5"/>
      <c r="H21" s="5"/>
      <c r="I21" s="6"/>
      <c r="J21" s="5"/>
      <c r="K21" s="5"/>
      <c r="L21" s="7"/>
      <c r="M21" s="7"/>
      <c r="N21" s="5"/>
      <c r="O21" s="8">
        <f>IF(B21="","",IF(AND(G21="Externe",J21&lt;&gt;"Oui"),"Annexer le rapport",IF(AND(K21="Oui",M21=""),"Suites à décider","Complet")))</f>
      </c>
    </row>
    <row r="22" spans="1:15" x14ac:dyDescent="0.25">
      <c r="A22" s="5">
        <v>18</v>
      </c>
      <c r="B22" s="6"/>
      <c r="C22" s="5"/>
      <c r="D22" s="5"/>
      <c r="E22" s="5"/>
      <c r="F22" s="5"/>
      <c r="G22" s="5"/>
      <c r="H22" s="5"/>
      <c r="I22" s="6"/>
      <c r="J22" s="5"/>
      <c r="K22" s="5"/>
      <c r="L22" s="7"/>
      <c r="M22" s="7"/>
      <c r="N22" s="5"/>
      <c r="O22" s="8">
        <f>IF(B22="","",IF(AND(G22="Externe",J22&lt;&gt;"Oui"),"Annexer le rapport",IF(AND(K22="Oui",M22=""),"Suites à décider","Complet")))</f>
      </c>
    </row>
    <row r="23" spans="1:15" x14ac:dyDescent="0.25">
      <c r="A23" s="5">
        <v>19</v>
      </c>
      <c r="B23" s="6"/>
      <c r="C23" s="5"/>
      <c r="D23" s="5"/>
      <c r="E23" s="5"/>
      <c r="F23" s="5"/>
      <c r="G23" s="5"/>
      <c r="H23" s="5"/>
      <c r="I23" s="6"/>
      <c r="J23" s="5"/>
      <c r="K23" s="5"/>
      <c r="L23" s="7"/>
      <c r="M23" s="7"/>
      <c r="N23" s="5"/>
      <c r="O23" s="8">
        <f>IF(B23="","",IF(AND(G23="Externe",J23&lt;&gt;"Oui"),"Annexer le rapport",IF(AND(K23="Oui",M23=""),"Suites à décider","Complet")))</f>
      </c>
    </row>
    <row r="24" spans="1:15" x14ac:dyDescent="0.25">
      <c r="A24" s="5">
        <v>20</v>
      </c>
      <c r="B24" s="6"/>
      <c r="C24" s="5"/>
      <c r="D24" s="5"/>
      <c r="E24" s="5"/>
      <c r="F24" s="5"/>
      <c r="G24" s="5"/>
      <c r="H24" s="5"/>
      <c r="I24" s="6"/>
      <c r="J24" s="5"/>
      <c r="K24" s="5"/>
      <c r="L24" s="7"/>
      <c r="M24" s="7"/>
      <c r="N24" s="5"/>
      <c r="O24" s="8">
        <f>IF(B24="","",IF(AND(G24="Externe",J24&lt;&gt;"Oui"),"Annexer le rapport",IF(AND(K24="Oui",M24=""),"Suites à décider","Complet")))</f>
      </c>
    </row>
    <row r="25" spans="1:15" x14ac:dyDescent="0.25">
      <c r="A25" s="5">
        <v>21</v>
      </c>
      <c r="B25" s="6"/>
      <c r="C25" s="5"/>
      <c r="D25" s="5"/>
      <c r="E25" s="5"/>
      <c r="F25" s="5"/>
      <c r="G25" s="5"/>
      <c r="H25" s="5"/>
      <c r="I25" s="6"/>
      <c r="J25" s="5"/>
      <c r="K25" s="5"/>
      <c r="L25" s="7"/>
      <c r="M25" s="7"/>
      <c r="N25" s="5"/>
      <c r="O25" s="8">
        <f>IF(B25="","",IF(AND(G25="Externe",J25&lt;&gt;"Oui"),"Annexer le rapport",IF(AND(K25="Oui",M25=""),"Suites à décider","Complet")))</f>
      </c>
    </row>
    <row r="26" spans="1:15" x14ac:dyDescent="0.25">
      <c r="A26" s="5">
        <v>22</v>
      </c>
      <c r="B26" s="6"/>
      <c r="C26" s="5"/>
      <c r="D26" s="5"/>
      <c r="E26" s="5"/>
      <c r="F26" s="5"/>
      <c r="G26" s="5"/>
      <c r="H26" s="5"/>
      <c r="I26" s="6"/>
      <c r="J26" s="5"/>
      <c r="K26" s="5"/>
      <c r="L26" s="7"/>
      <c r="M26" s="7"/>
      <c r="N26" s="5"/>
      <c r="O26" s="8">
        <f>IF(B26="","",IF(AND(G26="Externe",J26&lt;&gt;"Oui"),"Annexer le rapport",IF(AND(K26="Oui",M26=""),"Suites à décider","Complet")))</f>
      </c>
    </row>
    <row r="27" spans="1:15" x14ac:dyDescent="0.25">
      <c r="A27" s="5">
        <v>23</v>
      </c>
      <c r="B27" s="6"/>
      <c r="C27" s="5"/>
      <c r="D27" s="5"/>
      <c r="E27" s="5"/>
      <c r="F27" s="5"/>
      <c r="G27" s="5"/>
      <c r="H27" s="5"/>
      <c r="I27" s="6"/>
      <c r="J27" s="5"/>
      <c r="K27" s="5"/>
      <c r="L27" s="7"/>
      <c r="M27" s="7"/>
      <c r="N27" s="5"/>
      <c r="O27" s="8">
        <f>IF(B27="","",IF(AND(G27="Externe",J27&lt;&gt;"Oui"),"Annexer le rapport",IF(AND(K27="Oui",M27=""),"Suites à décider","Complet")))</f>
      </c>
    </row>
    <row r="28" spans="1:15" x14ac:dyDescent="0.25">
      <c r="A28" s="5">
        <v>24</v>
      </c>
      <c r="B28" s="6"/>
      <c r="C28" s="5"/>
      <c r="D28" s="5"/>
      <c r="E28" s="5"/>
      <c r="F28" s="5"/>
      <c r="G28" s="5"/>
      <c r="H28" s="5"/>
      <c r="I28" s="6"/>
      <c r="J28" s="5"/>
      <c r="K28" s="5"/>
      <c r="L28" s="7"/>
      <c r="M28" s="7"/>
      <c r="N28" s="5"/>
      <c r="O28" s="8">
        <f>IF(B28="","",IF(AND(G28="Externe",J28&lt;&gt;"Oui"),"Annexer le rapport",IF(AND(K28="Oui",M28=""),"Suites à décider","Complet")))</f>
      </c>
    </row>
    <row r="29" spans="1:15" x14ac:dyDescent="0.25">
      <c r="A29" s="5">
        <v>25</v>
      </c>
      <c r="B29" s="6"/>
      <c r="C29" s="5"/>
      <c r="D29" s="5"/>
      <c r="E29" s="5"/>
      <c r="F29" s="5"/>
      <c r="G29" s="5"/>
      <c r="H29" s="5"/>
      <c r="I29" s="6"/>
      <c r="J29" s="5"/>
      <c r="K29" s="5"/>
      <c r="L29" s="7"/>
      <c r="M29" s="7"/>
      <c r="N29" s="5"/>
      <c r="O29" s="8">
        <f>IF(B29="","",IF(AND(G29="Externe",J29&lt;&gt;"Oui"),"Annexer le rapport",IF(AND(K29="Oui",M29=""),"Suites à décider","Complet")))</f>
      </c>
    </row>
    <row r="30" spans="1:15" x14ac:dyDescent="0.25">
      <c r="A30" s="5">
        <v>26</v>
      </c>
      <c r="B30" s="6"/>
      <c r="C30" s="5"/>
      <c r="D30" s="5"/>
      <c r="E30" s="5"/>
      <c r="F30" s="5"/>
      <c r="G30" s="5"/>
      <c r="H30" s="5"/>
      <c r="I30" s="6"/>
      <c r="J30" s="5"/>
      <c r="K30" s="5"/>
      <c r="L30" s="7"/>
      <c r="M30" s="7"/>
      <c r="N30" s="5"/>
      <c r="O30" s="8">
        <f>IF(B30="","",IF(AND(G30="Externe",J30&lt;&gt;"Oui"),"Annexer le rapport",IF(AND(K30="Oui",M30=""),"Suites à décider","Complet")))</f>
      </c>
    </row>
    <row r="31" spans="1:15" x14ac:dyDescent="0.25">
      <c r="A31" s="5">
        <v>27</v>
      </c>
      <c r="B31" s="6"/>
      <c r="C31" s="5"/>
      <c r="D31" s="5"/>
      <c r="E31" s="5"/>
      <c r="F31" s="5"/>
      <c r="G31" s="5"/>
      <c r="H31" s="5"/>
      <c r="I31" s="6"/>
      <c r="J31" s="5"/>
      <c r="K31" s="5"/>
      <c r="L31" s="7"/>
      <c r="M31" s="7"/>
      <c r="N31" s="5"/>
      <c r="O31" s="8">
        <f>IF(B31="","",IF(AND(G31="Externe",J31&lt;&gt;"Oui"),"Annexer le rapport",IF(AND(K31="Oui",M31=""),"Suites à décider","Complet")))</f>
      </c>
    </row>
    <row r="32" spans="1:15" x14ac:dyDescent="0.25">
      <c r="A32" s="5">
        <v>28</v>
      </c>
      <c r="B32" s="6"/>
      <c r="C32" s="5"/>
      <c r="D32" s="5"/>
      <c r="E32" s="5"/>
      <c r="F32" s="5"/>
      <c r="G32" s="5"/>
      <c r="H32" s="5"/>
      <c r="I32" s="6"/>
      <c r="J32" s="5"/>
      <c r="K32" s="5"/>
      <c r="L32" s="7"/>
      <c r="M32" s="7"/>
      <c r="N32" s="5"/>
      <c r="O32" s="8">
        <f>IF(B32="","",IF(AND(G32="Externe",J32&lt;&gt;"Oui"),"Annexer le rapport",IF(AND(K32="Oui",M32=""),"Suites à décider","Complet")))</f>
      </c>
    </row>
    <row r="33" spans="1:15" x14ac:dyDescent="0.25">
      <c r="A33" s="5">
        <v>29</v>
      </c>
      <c r="B33" s="6"/>
      <c r="C33" s="5"/>
      <c r="D33" s="5"/>
      <c r="E33" s="5"/>
      <c r="F33" s="5"/>
      <c r="G33" s="5"/>
      <c r="H33" s="5"/>
      <c r="I33" s="6"/>
      <c r="J33" s="5"/>
      <c r="K33" s="5"/>
      <c r="L33" s="7"/>
      <c r="M33" s="7"/>
      <c r="N33" s="5"/>
      <c r="O33" s="8">
        <f>IF(B33="","",IF(AND(G33="Externe",J33&lt;&gt;"Oui"),"Annexer le rapport",IF(AND(K33="Oui",M33=""),"Suites à décider","Complet")))</f>
      </c>
    </row>
    <row r="34" spans="1:15" x14ac:dyDescent="0.25">
      <c r="A34" s="5">
        <v>30</v>
      </c>
      <c r="B34" s="6"/>
      <c r="C34" s="5"/>
      <c r="D34" s="5"/>
      <c r="E34" s="5"/>
      <c r="F34" s="5"/>
      <c r="G34" s="5"/>
      <c r="H34" s="5"/>
      <c r="I34" s="6"/>
      <c r="J34" s="5"/>
      <c r="K34" s="5"/>
      <c r="L34" s="7"/>
      <c r="M34" s="7"/>
      <c r="N34" s="5"/>
      <c r="O34" s="8">
        <f>IF(B34="","",IF(AND(G34="Externe",J34&lt;&gt;"Oui"),"Annexer le rapport",IF(AND(K34="Oui",M34=""),"Suites à décider","Complet")))</f>
      </c>
    </row>
    <row r="35" spans="1:15" x14ac:dyDescent="0.25">
      <c r="A35" s="5">
        <v>31</v>
      </c>
      <c r="B35" s="6"/>
      <c r="C35" s="5"/>
      <c r="D35" s="5"/>
      <c r="E35" s="5"/>
      <c r="F35" s="5"/>
      <c r="G35" s="5"/>
      <c r="H35" s="5"/>
      <c r="I35" s="6"/>
      <c r="J35" s="5"/>
      <c r="K35" s="5"/>
      <c r="L35" s="7"/>
      <c r="M35" s="7"/>
      <c r="N35" s="5"/>
      <c r="O35" s="8">
        <f>IF(B35="","",IF(AND(G35="Externe",J35&lt;&gt;"Oui"),"Annexer le rapport",IF(AND(K35="Oui",M35=""),"Suites à décider","Complet")))</f>
      </c>
    </row>
    <row r="36" spans="1:15" x14ac:dyDescent="0.25">
      <c r="A36" s="5">
        <v>32</v>
      </c>
      <c r="B36" s="6"/>
      <c r="C36" s="5"/>
      <c r="D36" s="5"/>
      <c r="E36" s="5"/>
      <c r="F36" s="5"/>
      <c r="G36" s="5"/>
      <c r="H36" s="5"/>
      <c r="I36" s="6"/>
      <c r="J36" s="5"/>
      <c r="K36" s="5"/>
      <c r="L36" s="7"/>
      <c r="M36" s="7"/>
      <c r="N36" s="5"/>
      <c r="O36" s="8">
        <f>IF(B36="","",IF(AND(G36="Externe",J36&lt;&gt;"Oui"),"Annexer le rapport",IF(AND(K36="Oui",M36=""),"Suites à décider","Complet")))</f>
      </c>
    </row>
    <row r="37" spans="1:15" x14ac:dyDescent="0.25">
      <c r="A37" s="5">
        <v>33</v>
      </c>
      <c r="B37" s="6"/>
      <c r="C37" s="5"/>
      <c r="D37" s="5"/>
      <c r="E37" s="5"/>
      <c r="F37" s="5"/>
      <c r="G37" s="5"/>
      <c r="H37" s="5"/>
      <c r="I37" s="6"/>
      <c r="J37" s="5"/>
      <c r="K37" s="5"/>
      <c r="L37" s="7"/>
      <c r="M37" s="7"/>
      <c r="N37" s="5"/>
      <c r="O37" s="8">
        <f>IF(B37="","",IF(AND(G37="Externe",J37&lt;&gt;"Oui"),"Annexer le rapport",IF(AND(K37="Oui",M37=""),"Suites à décider","Complet")))</f>
      </c>
    </row>
    <row r="38" spans="1:15" x14ac:dyDescent="0.25">
      <c r="A38" s="5">
        <v>34</v>
      </c>
      <c r="B38" s="6"/>
      <c r="C38" s="5"/>
      <c r="D38" s="5"/>
      <c r="E38" s="5"/>
      <c r="F38" s="5"/>
      <c r="G38" s="5"/>
      <c r="H38" s="5"/>
      <c r="I38" s="6"/>
      <c r="J38" s="5"/>
      <c r="K38" s="5"/>
      <c r="L38" s="7"/>
      <c r="M38" s="7"/>
      <c r="N38" s="5"/>
      <c r="O38" s="8">
        <f>IF(B38="","",IF(AND(G38="Externe",J38&lt;&gt;"Oui"),"Annexer le rapport",IF(AND(K38="Oui",M38=""),"Suites à décider","Complet")))</f>
      </c>
    </row>
    <row r="39" spans="1:15" x14ac:dyDescent="0.25">
      <c r="A39" s="5">
        <v>35</v>
      </c>
      <c r="B39" s="6"/>
      <c r="C39" s="5"/>
      <c r="D39" s="5"/>
      <c r="E39" s="5"/>
      <c r="F39" s="5"/>
      <c r="G39" s="5"/>
      <c r="H39" s="5"/>
      <c r="I39" s="6"/>
      <c r="J39" s="5"/>
      <c r="K39" s="5"/>
      <c r="L39" s="7"/>
      <c r="M39" s="7"/>
      <c r="N39" s="5"/>
      <c r="O39" s="8">
        <f>IF(B39="","",IF(AND(G39="Externe",J39&lt;&gt;"Oui"),"Annexer le rapport",IF(AND(K39="Oui",M39=""),"Suites à décider","Complet")))</f>
      </c>
    </row>
    <row r="40" spans="1:15" x14ac:dyDescent="0.25">
      <c r="A40" s="5">
        <v>36</v>
      </c>
      <c r="B40" s="6"/>
      <c r="C40" s="5"/>
      <c r="D40" s="5"/>
      <c r="E40" s="5"/>
      <c r="F40" s="5"/>
      <c r="G40" s="5"/>
      <c r="H40" s="5"/>
      <c r="I40" s="6"/>
      <c r="J40" s="5"/>
      <c r="K40" s="5"/>
      <c r="L40" s="7"/>
      <c r="M40" s="7"/>
      <c r="N40" s="5"/>
      <c r="O40" s="8">
        <f>IF(B40="","",IF(AND(G40="Externe",J40&lt;&gt;"Oui"),"Annexer le rapport",IF(AND(K40="Oui",M40=""),"Suites à décider","Complet")))</f>
      </c>
    </row>
    <row r="41" spans="1:15" x14ac:dyDescent="0.25">
      <c r="A41" s="5">
        <v>37</v>
      </c>
      <c r="B41" s="6"/>
      <c r="C41" s="5"/>
      <c r="D41" s="5"/>
      <c r="E41" s="5"/>
      <c r="F41" s="5"/>
      <c r="G41" s="5"/>
      <c r="H41" s="5"/>
      <c r="I41" s="6"/>
      <c r="J41" s="5"/>
      <c r="K41" s="5"/>
      <c r="L41" s="7"/>
      <c r="M41" s="7"/>
      <c r="N41" s="5"/>
      <c r="O41" s="8">
        <f>IF(B41="","",IF(AND(G41="Externe",J41&lt;&gt;"Oui"),"Annexer le rapport",IF(AND(K41="Oui",M41=""),"Suites à décider","Complet")))</f>
      </c>
    </row>
    <row r="42" spans="1:15" x14ac:dyDescent="0.25">
      <c r="A42" s="5">
        <v>38</v>
      </c>
      <c r="B42" s="6"/>
      <c r="C42" s="5"/>
      <c r="D42" s="5"/>
      <c r="E42" s="5"/>
      <c r="F42" s="5"/>
      <c r="G42" s="5"/>
      <c r="H42" s="5"/>
      <c r="I42" s="6"/>
      <c r="J42" s="5"/>
      <c r="K42" s="5"/>
      <c r="L42" s="7"/>
      <c r="M42" s="7"/>
      <c r="N42" s="5"/>
      <c r="O42" s="8">
        <f>IF(B42="","",IF(AND(G42="Externe",J42&lt;&gt;"Oui"),"Annexer le rapport",IF(AND(K42="Oui",M42=""),"Suites à décider","Complet")))</f>
      </c>
    </row>
    <row r="43" spans="1:15" x14ac:dyDescent="0.25">
      <c r="A43" s="5">
        <v>39</v>
      </c>
      <c r="B43" s="6"/>
      <c r="C43" s="5"/>
      <c r="D43" s="5"/>
      <c r="E43" s="5"/>
      <c r="F43" s="5"/>
      <c r="G43" s="5"/>
      <c r="H43" s="5"/>
      <c r="I43" s="6"/>
      <c r="J43" s="5"/>
      <c r="K43" s="5"/>
      <c r="L43" s="7"/>
      <c r="M43" s="7"/>
      <c r="N43" s="5"/>
      <c r="O43" s="8">
        <f>IF(B43="","",IF(AND(G43="Externe",J43&lt;&gt;"Oui"),"Annexer le rapport",IF(AND(K43="Oui",M43=""),"Suites à décider","Complet")))</f>
      </c>
    </row>
    <row r="44" spans="1:15" x14ac:dyDescent="0.25">
      <c r="A44" s="5">
        <v>40</v>
      </c>
      <c r="B44" s="6"/>
      <c r="C44" s="5"/>
      <c r="D44" s="5"/>
      <c r="E44" s="5"/>
      <c r="F44" s="5"/>
      <c r="G44" s="5"/>
      <c r="H44" s="5"/>
      <c r="I44" s="6"/>
      <c r="J44" s="5"/>
      <c r="K44" s="5"/>
      <c r="L44" s="7"/>
      <c r="M44" s="7"/>
      <c r="N44" s="5"/>
      <c r="O44" s="8">
        <f>IF(B44="","",IF(AND(G44="Externe",J44&lt;&gt;"Oui"),"Annexer le rapport",IF(AND(K44="Oui",M44=""),"Suites à décider","Complet")))</f>
      </c>
    </row>
    <row r="45" spans="1:15" x14ac:dyDescent="0.25">
      <c r="A45" s="5">
        <v>41</v>
      </c>
      <c r="B45" s="6"/>
      <c r="C45" s="5"/>
      <c r="D45" s="5"/>
      <c r="E45" s="5"/>
      <c r="F45" s="5"/>
      <c r="G45" s="5"/>
      <c r="H45" s="5"/>
      <c r="I45" s="6"/>
      <c r="J45" s="5"/>
      <c r="K45" s="5"/>
      <c r="L45" s="7"/>
      <c r="M45" s="7"/>
      <c r="N45" s="5"/>
      <c r="O45" s="8">
        <f>IF(B45="","",IF(AND(G45="Externe",J45&lt;&gt;"Oui"),"Annexer le rapport",IF(AND(K45="Oui",M45=""),"Suites à décider","Complet")))</f>
      </c>
    </row>
    <row r="46" spans="1:15" x14ac:dyDescent="0.25">
      <c r="A46" s="5">
        <v>42</v>
      </c>
      <c r="B46" s="6"/>
      <c r="C46" s="5"/>
      <c r="D46" s="5"/>
      <c r="E46" s="5"/>
      <c r="F46" s="5"/>
      <c r="G46" s="5"/>
      <c r="H46" s="5"/>
      <c r="I46" s="6"/>
      <c r="J46" s="5"/>
      <c r="K46" s="5"/>
      <c r="L46" s="7"/>
      <c r="M46" s="7"/>
      <c r="N46" s="5"/>
      <c r="O46" s="8">
        <f>IF(B46="","",IF(AND(G46="Externe",J46&lt;&gt;"Oui"),"Annexer le rapport",IF(AND(K46="Oui",M46=""),"Suites à décider","Complet")))</f>
      </c>
    </row>
    <row r="47" spans="1:15" x14ac:dyDescent="0.25">
      <c r="A47" s="5">
        <v>43</v>
      </c>
      <c r="B47" s="6"/>
      <c r="C47" s="5"/>
      <c r="D47" s="5"/>
      <c r="E47" s="5"/>
      <c r="F47" s="5"/>
      <c r="G47" s="5"/>
      <c r="H47" s="5"/>
      <c r="I47" s="6"/>
      <c r="J47" s="5"/>
      <c r="K47" s="5"/>
      <c r="L47" s="7"/>
      <c r="M47" s="7"/>
      <c r="N47" s="5"/>
      <c r="O47" s="8">
        <f>IF(B47="","",IF(AND(G47="Externe",J47&lt;&gt;"Oui"),"Annexer le rapport",IF(AND(K47="Oui",M47=""),"Suites à décider","Complet")))</f>
      </c>
    </row>
    <row r="48" spans="1:15" x14ac:dyDescent="0.25">
      <c r="A48" s="5">
        <v>44</v>
      </c>
      <c r="B48" s="6"/>
      <c r="C48" s="5"/>
      <c r="D48" s="5"/>
      <c r="E48" s="5"/>
      <c r="F48" s="5"/>
      <c r="G48" s="5"/>
      <c r="H48" s="5"/>
      <c r="I48" s="6"/>
      <c r="J48" s="5"/>
      <c r="K48" s="5"/>
      <c r="L48" s="7"/>
      <c r="M48" s="7"/>
      <c r="N48" s="5"/>
      <c r="O48" s="8">
        <f>IF(B48="","",IF(AND(G48="Externe",J48&lt;&gt;"Oui"),"Annexer le rapport",IF(AND(K48="Oui",M48=""),"Suites à décider","Complet")))</f>
      </c>
    </row>
    <row r="49" spans="1:15" x14ac:dyDescent="0.25">
      <c r="A49" s="5">
        <v>45</v>
      </c>
      <c r="B49" s="6"/>
      <c r="C49" s="5"/>
      <c r="D49" s="5"/>
      <c r="E49" s="5"/>
      <c r="F49" s="5"/>
      <c r="G49" s="5"/>
      <c r="H49" s="5"/>
      <c r="I49" s="6"/>
      <c r="J49" s="5"/>
      <c r="K49" s="5"/>
      <c r="L49" s="7"/>
      <c r="M49" s="7"/>
      <c r="N49" s="5"/>
      <c r="O49" s="8">
        <f>IF(B49="","",IF(AND(G49="Externe",J49&lt;&gt;"Oui"),"Annexer le rapport",IF(AND(K49="Oui",M49=""),"Suites à décider","Complet")))</f>
      </c>
    </row>
    <row r="50" spans="1:15" x14ac:dyDescent="0.25">
      <c r="A50" s="5">
        <v>46</v>
      </c>
      <c r="B50" s="6"/>
      <c r="C50" s="5"/>
      <c r="D50" s="5"/>
      <c r="E50" s="5"/>
      <c r="F50" s="5"/>
      <c r="G50" s="5"/>
      <c r="H50" s="5"/>
      <c r="I50" s="6"/>
      <c r="J50" s="5"/>
      <c r="K50" s="5"/>
      <c r="L50" s="7"/>
      <c r="M50" s="7"/>
      <c r="N50" s="5"/>
      <c r="O50" s="8">
        <f>IF(B50="","",IF(AND(G50="Externe",J50&lt;&gt;"Oui"),"Annexer le rapport",IF(AND(K50="Oui",M50=""),"Suites à décider","Complet")))</f>
      </c>
    </row>
    <row r="51" spans="1:15" x14ac:dyDescent="0.25">
      <c r="A51" s="5">
        <v>47</v>
      </c>
      <c r="B51" s="6"/>
      <c r="C51" s="5"/>
      <c r="D51" s="5"/>
      <c r="E51" s="5"/>
      <c r="F51" s="5"/>
      <c r="G51" s="5"/>
      <c r="H51" s="5"/>
      <c r="I51" s="6"/>
      <c r="J51" s="5"/>
      <c r="K51" s="5"/>
      <c r="L51" s="7"/>
      <c r="M51" s="7"/>
      <c r="N51" s="5"/>
      <c r="O51" s="8">
        <f>IF(B51="","",IF(AND(G51="Externe",J51&lt;&gt;"Oui"),"Annexer le rapport",IF(AND(K51="Oui",M51=""),"Suites à décider","Complet")))</f>
      </c>
    </row>
    <row r="52" spans="1:15" x14ac:dyDescent="0.25">
      <c r="A52" s="5">
        <v>48</v>
      </c>
      <c r="B52" s="6"/>
      <c r="C52" s="5"/>
      <c r="D52" s="5"/>
      <c r="E52" s="5"/>
      <c r="F52" s="5"/>
      <c r="G52" s="5"/>
      <c r="H52" s="5"/>
      <c r="I52" s="6"/>
      <c r="J52" s="5"/>
      <c r="K52" s="5"/>
      <c r="L52" s="7"/>
      <c r="M52" s="7"/>
      <c r="N52" s="5"/>
      <c r="O52" s="8">
        <f>IF(B52="","",IF(AND(G52="Externe",J52&lt;&gt;"Oui"),"Annexer le rapport",IF(AND(K52="Oui",M52=""),"Suites à décider","Complet")))</f>
      </c>
    </row>
    <row r="53" spans="1:15" x14ac:dyDescent="0.25">
      <c r="A53" s="5">
        <v>49</v>
      </c>
      <c r="B53" s="6"/>
      <c r="C53" s="5"/>
      <c r="D53" s="5"/>
      <c r="E53" s="5"/>
      <c r="F53" s="5"/>
      <c r="G53" s="5"/>
      <c r="H53" s="5"/>
      <c r="I53" s="6"/>
      <c r="J53" s="5"/>
      <c r="K53" s="5"/>
      <c r="L53" s="7"/>
      <c r="M53" s="7"/>
      <c r="N53" s="5"/>
      <c r="O53" s="8">
        <f>IF(B53="","",IF(AND(G53="Externe",J53&lt;&gt;"Oui"),"Annexer le rapport",IF(AND(K53="Oui",M53=""),"Suites à décider","Complet")))</f>
      </c>
    </row>
    <row r="54" spans="1:15" x14ac:dyDescent="0.25">
      <c r="A54" s="5">
        <v>50</v>
      </c>
      <c r="B54" s="6"/>
      <c r="C54" s="5"/>
      <c r="D54" s="5"/>
      <c r="E54" s="5"/>
      <c r="F54" s="5"/>
      <c r="G54" s="5"/>
      <c r="H54" s="5"/>
      <c r="I54" s="6"/>
      <c r="J54" s="5"/>
      <c r="K54" s="5"/>
      <c r="L54" s="7"/>
      <c r="M54" s="7"/>
      <c r="N54" s="5"/>
      <c r="O54" s="8">
        <f>IF(B54="","",IF(AND(G54="Externe",J54&lt;&gt;"Oui"),"Annexer le rapport",IF(AND(K54="Oui",M54=""),"Suites à décider","Complet")))</f>
      </c>
    </row>
    <row r="55" spans="1:15" x14ac:dyDescent="0.25">
      <c r="A55" s="5">
        <v>51</v>
      </c>
      <c r="B55" s="6"/>
      <c r="C55" s="5"/>
      <c r="D55" s="5"/>
      <c r="E55" s="5"/>
      <c r="F55" s="5"/>
      <c r="G55" s="5"/>
      <c r="H55" s="5"/>
      <c r="I55" s="6"/>
      <c r="J55" s="5"/>
      <c r="K55" s="5"/>
      <c r="L55" s="7"/>
      <c r="M55" s="7"/>
      <c r="N55" s="5"/>
      <c r="O55" s="8">
        <f>IF(B55="","",IF(AND(G55="Externe",J55&lt;&gt;"Oui"),"Annexer le rapport",IF(AND(K55="Oui",M55=""),"Suites à décider","Complet")))</f>
      </c>
    </row>
    <row r="56" spans="1:15" x14ac:dyDescent="0.25">
      <c r="A56" s="5">
        <v>52</v>
      </c>
      <c r="B56" s="6"/>
      <c r="C56" s="5"/>
      <c r="D56" s="5"/>
      <c r="E56" s="5"/>
      <c r="F56" s="5"/>
      <c r="G56" s="5"/>
      <c r="H56" s="5"/>
      <c r="I56" s="6"/>
      <c r="J56" s="5"/>
      <c r="K56" s="5"/>
      <c r="L56" s="7"/>
      <c r="M56" s="7"/>
      <c r="N56" s="5"/>
      <c r="O56" s="8">
        <f>IF(B56="","",IF(AND(G56="Externe",J56&lt;&gt;"Oui"),"Annexer le rapport",IF(AND(K56="Oui",M56=""),"Suites à décider","Complet")))</f>
      </c>
    </row>
    <row r="57" spans="1:15" x14ac:dyDescent="0.25">
      <c r="A57" s="5">
        <v>53</v>
      </c>
      <c r="B57" s="6"/>
      <c r="C57" s="5"/>
      <c r="D57" s="5"/>
      <c r="E57" s="5"/>
      <c r="F57" s="5"/>
      <c r="G57" s="5"/>
      <c r="H57" s="5"/>
      <c r="I57" s="6"/>
      <c r="J57" s="5"/>
      <c r="K57" s="5"/>
      <c r="L57" s="7"/>
      <c r="M57" s="7"/>
      <c r="N57" s="5"/>
      <c r="O57" s="8">
        <f>IF(B57="","",IF(AND(G57="Externe",J57&lt;&gt;"Oui"),"Annexer le rapport",IF(AND(K57="Oui",M57=""),"Suites à décider","Complet")))</f>
      </c>
    </row>
    <row r="58" spans="1:15" x14ac:dyDescent="0.25">
      <c r="A58" s="5">
        <v>54</v>
      </c>
      <c r="B58" s="6"/>
      <c r="C58" s="5"/>
      <c r="D58" s="5"/>
      <c r="E58" s="5"/>
      <c r="F58" s="5"/>
      <c r="G58" s="5"/>
      <c r="H58" s="5"/>
      <c r="I58" s="6"/>
      <c r="J58" s="5"/>
      <c r="K58" s="5"/>
      <c r="L58" s="7"/>
      <c r="M58" s="7"/>
      <c r="N58" s="5"/>
      <c r="O58" s="8">
        <f>IF(B58="","",IF(AND(G58="Externe",J58&lt;&gt;"Oui"),"Annexer le rapport",IF(AND(K58="Oui",M58=""),"Suites à décider","Complet")))</f>
      </c>
    </row>
    <row r="59" spans="1:15" x14ac:dyDescent="0.25">
      <c r="A59" s="5">
        <v>55</v>
      </c>
      <c r="B59" s="6"/>
      <c r="C59" s="5"/>
      <c r="D59" s="5"/>
      <c r="E59" s="5"/>
      <c r="F59" s="5"/>
      <c r="G59" s="5"/>
      <c r="H59" s="5"/>
      <c r="I59" s="6"/>
      <c r="J59" s="5"/>
      <c r="K59" s="5"/>
      <c r="L59" s="7"/>
      <c r="M59" s="7"/>
      <c r="N59" s="5"/>
      <c r="O59" s="8">
        <f>IF(B59="","",IF(AND(G59="Externe",J59&lt;&gt;"Oui"),"Annexer le rapport",IF(AND(K59="Oui",M59=""),"Suites à décider","Complet")))</f>
      </c>
    </row>
    <row r="60" spans="1:15" x14ac:dyDescent="0.25">
      <c r="A60" s="5">
        <v>56</v>
      </c>
      <c r="B60" s="6"/>
      <c r="C60" s="5"/>
      <c r="D60" s="5"/>
      <c r="E60" s="5"/>
      <c r="F60" s="5"/>
      <c r="G60" s="5"/>
      <c r="H60" s="5"/>
      <c r="I60" s="6"/>
      <c r="J60" s="5"/>
      <c r="K60" s="5"/>
      <c r="L60" s="7"/>
      <c r="M60" s="7"/>
      <c r="N60" s="5"/>
      <c r="O60" s="8">
        <f>IF(B60="","",IF(AND(G60="Externe",J60&lt;&gt;"Oui"),"Annexer le rapport",IF(AND(K60="Oui",M60=""),"Suites à décider","Complet")))</f>
      </c>
    </row>
    <row r="61" spans="1:15" x14ac:dyDescent="0.25">
      <c r="A61" s="5">
        <v>57</v>
      </c>
      <c r="B61" s="6"/>
      <c r="C61" s="5"/>
      <c r="D61" s="5"/>
      <c r="E61" s="5"/>
      <c r="F61" s="5"/>
      <c r="G61" s="5"/>
      <c r="H61" s="5"/>
      <c r="I61" s="6"/>
      <c r="J61" s="5"/>
      <c r="K61" s="5"/>
      <c r="L61" s="7"/>
      <c r="M61" s="7"/>
      <c r="N61" s="5"/>
      <c r="O61" s="8">
        <f>IF(B61="","",IF(AND(G61="Externe",J61&lt;&gt;"Oui"),"Annexer le rapport",IF(AND(K61="Oui",M61=""),"Suites à décider","Complet")))</f>
      </c>
    </row>
    <row r="62" spans="1:15" x14ac:dyDescent="0.25">
      <c r="A62" s="5">
        <v>58</v>
      </c>
      <c r="B62" s="6"/>
      <c r="C62" s="5"/>
      <c r="D62" s="5"/>
      <c r="E62" s="5"/>
      <c r="F62" s="5"/>
      <c r="G62" s="5"/>
      <c r="H62" s="5"/>
      <c r="I62" s="6"/>
      <c r="J62" s="5"/>
      <c r="K62" s="5"/>
      <c r="L62" s="7"/>
      <c r="M62" s="7"/>
      <c r="N62" s="5"/>
      <c r="O62" s="8">
        <f>IF(B62="","",IF(AND(G62="Externe",J62&lt;&gt;"Oui"),"Annexer le rapport",IF(AND(K62="Oui",M62=""),"Suites à décider","Complet")))</f>
      </c>
    </row>
    <row r="63" spans="1:15" x14ac:dyDescent="0.25">
      <c r="A63" s="5">
        <v>59</v>
      </c>
      <c r="B63" s="6"/>
      <c r="C63" s="5"/>
      <c r="D63" s="5"/>
      <c r="E63" s="5"/>
      <c r="F63" s="5"/>
      <c r="G63" s="5"/>
      <c r="H63" s="5"/>
      <c r="I63" s="6"/>
      <c r="J63" s="5"/>
      <c r="K63" s="5"/>
      <c r="L63" s="7"/>
      <c r="M63" s="7"/>
      <c r="N63" s="5"/>
      <c r="O63" s="8">
        <f>IF(B63="","",IF(AND(G63="Externe",J63&lt;&gt;"Oui"),"Annexer le rapport",IF(AND(K63="Oui",M63=""),"Suites à décider","Complet")))</f>
      </c>
    </row>
    <row r="64" spans="1:15" x14ac:dyDescent="0.25">
      <c r="A64" s="5">
        <v>60</v>
      </c>
      <c r="B64" s="6"/>
      <c r="C64" s="5"/>
      <c r="D64" s="5"/>
      <c r="E64" s="5"/>
      <c r="F64" s="5"/>
      <c r="G64" s="5"/>
      <c r="H64" s="5"/>
      <c r="I64" s="6"/>
      <c r="J64" s="5"/>
      <c r="K64" s="5"/>
      <c r="L64" s="7"/>
      <c r="M64" s="7"/>
      <c r="N64" s="5"/>
      <c r="O64" s="8">
        <f>IF(B64="","",IF(AND(G64="Externe",J64&lt;&gt;"Oui"),"Annexer le rapport",IF(AND(K64="Oui",M64=""),"Suites à décider","Complet")))</f>
      </c>
    </row>
    <row r="65" spans="1:15" x14ac:dyDescent="0.25">
      <c r="A65" s="5">
        <v>61</v>
      </c>
      <c r="B65" s="6"/>
      <c r="C65" s="5"/>
      <c r="D65" s="5"/>
      <c r="E65" s="5"/>
      <c r="F65" s="5"/>
      <c r="G65" s="5"/>
      <c r="H65" s="5"/>
      <c r="I65" s="6"/>
      <c r="J65" s="5"/>
      <c r="K65" s="5"/>
      <c r="L65" s="7"/>
      <c r="M65" s="7"/>
      <c r="N65" s="5"/>
      <c r="O65" s="8">
        <f>IF(B65="","",IF(AND(G65="Externe",J65&lt;&gt;"Oui"),"Annexer le rapport",IF(AND(K65="Oui",M65=""),"Suites à décider","Complet")))</f>
      </c>
    </row>
    <row r="66" spans="1:15" x14ac:dyDescent="0.25">
      <c r="A66" s="5">
        <v>62</v>
      </c>
      <c r="B66" s="6"/>
      <c r="C66" s="5"/>
      <c r="D66" s="5"/>
      <c r="E66" s="5"/>
      <c r="F66" s="5"/>
      <c r="G66" s="5"/>
      <c r="H66" s="5"/>
      <c r="I66" s="6"/>
      <c r="J66" s="5"/>
      <c r="K66" s="5"/>
      <c r="L66" s="7"/>
      <c r="M66" s="7"/>
      <c r="N66" s="5"/>
      <c r="O66" s="8">
        <f>IF(B66="","",IF(AND(G66="Externe",J66&lt;&gt;"Oui"),"Annexer le rapport",IF(AND(K66="Oui",M66=""),"Suites à décider","Complet")))</f>
      </c>
    </row>
    <row r="67" spans="1:15" x14ac:dyDescent="0.25">
      <c r="A67" s="5">
        <v>63</v>
      </c>
      <c r="B67" s="6"/>
      <c r="C67" s="5"/>
      <c r="D67" s="5"/>
      <c r="E67" s="5"/>
      <c r="F67" s="5"/>
      <c r="G67" s="5"/>
      <c r="H67" s="5"/>
      <c r="I67" s="6"/>
      <c r="J67" s="5"/>
      <c r="K67" s="5"/>
      <c r="L67" s="7"/>
      <c r="M67" s="7"/>
      <c r="N67" s="5"/>
      <c r="O67" s="8">
        <f>IF(B67="","",IF(AND(G67="Externe",J67&lt;&gt;"Oui"),"Annexer le rapport",IF(AND(K67="Oui",M67=""),"Suites à décider","Complet")))</f>
      </c>
    </row>
    <row r="68" spans="1:15" x14ac:dyDescent="0.25">
      <c r="A68" s="5">
        <v>64</v>
      </c>
      <c r="B68" s="6"/>
      <c r="C68" s="5"/>
      <c r="D68" s="5"/>
      <c r="E68" s="5"/>
      <c r="F68" s="5"/>
      <c r="G68" s="5"/>
      <c r="H68" s="5"/>
      <c r="I68" s="6"/>
      <c r="J68" s="5"/>
      <c r="K68" s="5"/>
      <c r="L68" s="7"/>
      <c r="M68" s="7"/>
      <c r="N68" s="5"/>
      <c r="O68" s="8">
        <f>IF(B68="","",IF(AND(G68="Externe",J68&lt;&gt;"Oui"),"Annexer le rapport",IF(AND(K68="Oui",M68=""),"Suites à décider","Complet")))</f>
      </c>
    </row>
    <row r="69" spans="1:15" x14ac:dyDescent="0.25">
      <c r="A69" s="5">
        <v>65</v>
      </c>
      <c r="B69" s="6"/>
      <c r="C69" s="5"/>
      <c r="D69" s="5"/>
      <c r="E69" s="5"/>
      <c r="F69" s="5"/>
      <c r="G69" s="5"/>
      <c r="H69" s="5"/>
      <c r="I69" s="6"/>
      <c r="J69" s="5"/>
      <c r="K69" s="5"/>
      <c r="L69" s="7"/>
      <c r="M69" s="7"/>
      <c r="N69" s="5"/>
      <c r="O69" s="8">
        <f>IF(B69="","",IF(AND(G69="Externe",J69&lt;&gt;"Oui"),"Annexer le rapport",IF(AND(K69="Oui",M69=""),"Suites à décider","Complet")))</f>
      </c>
    </row>
    <row r="70" spans="1:15" x14ac:dyDescent="0.25">
      <c r="A70" s="5">
        <v>66</v>
      </c>
      <c r="B70" s="6"/>
      <c r="C70" s="5"/>
      <c r="D70" s="5"/>
      <c r="E70" s="5"/>
      <c r="F70" s="5"/>
      <c r="G70" s="5"/>
      <c r="H70" s="5"/>
      <c r="I70" s="6"/>
      <c r="J70" s="5"/>
      <c r="K70" s="5"/>
      <c r="L70" s="7"/>
      <c r="M70" s="7"/>
      <c r="N70" s="5"/>
      <c r="O70" s="8">
        <f>IF(B70="","",IF(AND(G70="Externe",J70&lt;&gt;"Oui"),"Annexer le rapport",IF(AND(K70="Oui",M70=""),"Suites à décider","Complet")))</f>
      </c>
    </row>
    <row r="71" spans="1:15" x14ac:dyDescent="0.25">
      <c r="A71" s="5">
        <v>67</v>
      </c>
      <c r="B71" s="6"/>
      <c r="C71" s="5"/>
      <c r="D71" s="5"/>
      <c r="E71" s="5"/>
      <c r="F71" s="5"/>
      <c r="G71" s="5"/>
      <c r="H71" s="5"/>
      <c r="I71" s="6"/>
      <c r="J71" s="5"/>
      <c r="K71" s="5"/>
      <c r="L71" s="7"/>
      <c r="M71" s="7"/>
      <c r="N71" s="5"/>
      <c r="O71" s="8">
        <f>IF(B71="","",IF(AND(G71="Externe",J71&lt;&gt;"Oui"),"Annexer le rapport",IF(AND(K71="Oui",M71=""),"Suites à décider","Complet")))</f>
      </c>
    </row>
    <row r="72" spans="1:15" x14ac:dyDescent="0.25">
      <c r="A72" s="5">
        <v>68</v>
      </c>
      <c r="B72" s="6"/>
      <c r="C72" s="5"/>
      <c r="D72" s="5"/>
      <c r="E72" s="5"/>
      <c r="F72" s="5"/>
      <c r="G72" s="5"/>
      <c r="H72" s="5"/>
      <c r="I72" s="6"/>
      <c r="J72" s="5"/>
      <c r="K72" s="5"/>
      <c r="L72" s="7"/>
      <c r="M72" s="7"/>
      <c r="N72" s="5"/>
      <c r="O72" s="8">
        <f>IF(B72="","",IF(AND(G72="Externe",J72&lt;&gt;"Oui"),"Annexer le rapport",IF(AND(K72="Oui",M72=""),"Suites à décider","Complet")))</f>
      </c>
    </row>
    <row r="73" spans="1:15" x14ac:dyDescent="0.25">
      <c r="A73" s="5">
        <v>69</v>
      </c>
      <c r="B73" s="6"/>
      <c r="C73" s="5"/>
      <c r="D73" s="5"/>
      <c r="E73" s="5"/>
      <c r="F73" s="5"/>
      <c r="G73" s="5"/>
      <c r="H73" s="5"/>
      <c r="I73" s="6"/>
      <c r="J73" s="5"/>
      <c r="K73" s="5"/>
      <c r="L73" s="7"/>
      <c r="M73" s="7"/>
      <c r="N73" s="5"/>
      <c r="O73" s="8">
        <f>IF(B73="","",IF(AND(G73="Externe",J73&lt;&gt;"Oui"),"Annexer le rapport",IF(AND(K73="Oui",M73=""),"Suites à décider","Complet")))</f>
      </c>
    </row>
    <row r="74" spans="1:15" x14ac:dyDescent="0.25">
      <c r="A74" s="5">
        <v>70</v>
      </c>
      <c r="B74" s="6"/>
      <c r="C74" s="5"/>
      <c r="D74" s="5"/>
      <c r="E74" s="5"/>
      <c r="F74" s="5"/>
      <c r="G74" s="5"/>
      <c r="H74" s="5"/>
      <c r="I74" s="6"/>
      <c r="J74" s="5"/>
      <c r="K74" s="5"/>
      <c r="L74" s="7"/>
      <c r="M74" s="7"/>
      <c r="N74" s="5"/>
      <c r="O74" s="8">
        <f>IF(B74="","",IF(AND(G74="Externe",J74&lt;&gt;"Oui"),"Annexer le rapport",IF(AND(K74="Oui",M74=""),"Suites à décider","Complet")))</f>
      </c>
    </row>
    <row r="75" spans="1:15" x14ac:dyDescent="0.25">
      <c r="A75" s="5">
        <v>71</v>
      </c>
      <c r="B75" s="6"/>
      <c r="C75" s="5"/>
      <c r="D75" s="5"/>
      <c r="E75" s="5"/>
      <c r="F75" s="5"/>
      <c r="G75" s="5"/>
      <c r="H75" s="5"/>
      <c r="I75" s="6"/>
      <c r="J75" s="5"/>
      <c r="K75" s="5"/>
      <c r="L75" s="7"/>
      <c r="M75" s="7"/>
      <c r="N75" s="5"/>
      <c r="O75" s="8">
        <f>IF(B75="","",IF(AND(G75="Externe",J75&lt;&gt;"Oui"),"Annexer le rapport",IF(AND(K75="Oui",M75=""),"Suites à décider","Complet")))</f>
      </c>
    </row>
    <row r="76" spans="1:15" x14ac:dyDescent="0.25">
      <c r="A76" s="5">
        <v>72</v>
      </c>
      <c r="B76" s="6"/>
      <c r="C76" s="5"/>
      <c r="D76" s="5"/>
      <c r="E76" s="5"/>
      <c r="F76" s="5"/>
      <c r="G76" s="5"/>
      <c r="H76" s="5"/>
      <c r="I76" s="6"/>
      <c r="J76" s="5"/>
      <c r="K76" s="5"/>
      <c r="L76" s="7"/>
      <c r="M76" s="7"/>
      <c r="N76" s="5"/>
      <c r="O76" s="8">
        <f>IF(B76="","",IF(AND(G76="Externe",J76&lt;&gt;"Oui"),"Annexer le rapport",IF(AND(K76="Oui",M76=""),"Suites à décider","Complet")))</f>
      </c>
    </row>
    <row r="77" spans="1:15" x14ac:dyDescent="0.25">
      <c r="A77" s="5">
        <v>73</v>
      </c>
      <c r="B77" s="6"/>
      <c r="C77" s="5"/>
      <c r="D77" s="5"/>
      <c r="E77" s="5"/>
      <c r="F77" s="5"/>
      <c r="G77" s="5"/>
      <c r="H77" s="5"/>
      <c r="I77" s="6"/>
      <c r="J77" s="5"/>
      <c r="K77" s="5"/>
      <c r="L77" s="7"/>
      <c r="M77" s="7"/>
      <c r="N77" s="5"/>
      <c r="O77" s="8">
        <f>IF(B77="","",IF(AND(G77="Externe",J77&lt;&gt;"Oui"),"Annexer le rapport",IF(AND(K77="Oui",M77=""),"Suites à décider","Complet")))</f>
      </c>
    </row>
    <row r="78" spans="1:15" x14ac:dyDescent="0.25">
      <c r="A78" s="5">
        <v>74</v>
      </c>
      <c r="B78" s="6"/>
      <c r="C78" s="5"/>
      <c r="D78" s="5"/>
      <c r="E78" s="5"/>
      <c r="F78" s="5"/>
      <c r="G78" s="5"/>
      <c r="H78" s="5"/>
      <c r="I78" s="6"/>
      <c r="J78" s="5"/>
      <c r="K78" s="5"/>
      <c r="L78" s="7"/>
      <c r="M78" s="7"/>
      <c r="N78" s="5"/>
      <c r="O78" s="8">
        <f>IF(B78="","",IF(AND(G78="Externe",J78&lt;&gt;"Oui"),"Annexer le rapport",IF(AND(K78="Oui",M78=""),"Suites à décider","Complet")))</f>
      </c>
    </row>
    <row r="79" spans="1:15" x14ac:dyDescent="0.25">
      <c r="A79" s="5">
        <v>75</v>
      </c>
      <c r="B79" s="6"/>
      <c r="C79" s="5"/>
      <c r="D79" s="5"/>
      <c r="E79" s="5"/>
      <c r="F79" s="5"/>
      <c r="G79" s="5"/>
      <c r="H79" s="5"/>
      <c r="I79" s="6"/>
      <c r="J79" s="5"/>
      <c r="K79" s="5"/>
      <c r="L79" s="7"/>
      <c r="M79" s="7"/>
      <c r="N79" s="5"/>
      <c r="O79" s="8">
        <f>IF(B79="","",IF(AND(G79="Externe",J79&lt;&gt;"Oui"),"Annexer le rapport",IF(AND(K79="Oui",M79=""),"Suites à décider","Complet")))</f>
      </c>
    </row>
    <row r="80" spans="1:15" x14ac:dyDescent="0.25">
      <c r="A80" s="5">
        <v>76</v>
      </c>
      <c r="B80" s="6"/>
      <c r="C80" s="5"/>
      <c r="D80" s="5"/>
      <c r="E80" s="5"/>
      <c r="F80" s="5"/>
      <c r="G80" s="5"/>
      <c r="H80" s="5"/>
      <c r="I80" s="6"/>
      <c r="J80" s="5"/>
      <c r="K80" s="5"/>
      <c r="L80" s="7"/>
      <c r="M80" s="7"/>
      <c r="N80" s="5"/>
      <c r="O80" s="8">
        <f>IF(B80="","",IF(AND(G80="Externe",J80&lt;&gt;"Oui"),"Annexer le rapport",IF(AND(K80="Oui",M80=""),"Suites à décider","Complet")))</f>
      </c>
    </row>
    <row r="81" spans="1:15" x14ac:dyDescent="0.25">
      <c r="A81" s="5">
        <v>77</v>
      </c>
      <c r="B81" s="6"/>
      <c r="C81" s="5"/>
      <c r="D81" s="5"/>
      <c r="E81" s="5"/>
      <c r="F81" s="5"/>
      <c r="G81" s="5"/>
      <c r="H81" s="5"/>
      <c r="I81" s="6"/>
      <c r="J81" s="5"/>
      <c r="K81" s="5"/>
      <c r="L81" s="7"/>
      <c r="M81" s="7"/>
      <c r="N81" s="5"/>
      <c r="O81" s="8">
        <f>IF(B81="","",IF(AND(G81="Externe",J81&lt;&gt;"Oui"),"Annexer le rapport",IF(AND(K81="Oui",M81=""),"Suites à décider","Complet")))</f>
      </c>
    </row>
    <row r="82" spans="1:15" x14ac:dyDescent="0.25">
      <c r="A82" s="5">
        <v>78</v>
      </c>
      <c r="B82" s="6"/>
      <c r="C82" s="5"/>
      <c r="D82" s="5"/>
      <c r="E82" s="5"/>
      <c r="F82" s="5"/>
      <c r="G82" s="5"/>
      <c r="H82" s="5"/>
      <c r="I82" s="6"/>
      <c r="J82" s="5"/>
      <c r="K82" s="5"/>
      <c r="L82" s="7"/>
      <c r="M82" s="7"/>
      <c r="N82" s="5"/>
      <c r="O82" s="8">
        <f>IF(B82="","",IF(AND(G82="Externe",J82&lt;&gt;"Oui"),"Annexer le rapport",IF(AND(K82="Oui",M82=""),"Suites à décider","Complet")))</f>
      </c>
    </row>
    <row r="83" spans="1:15" x14ac:dyDescent="0.25">
      <c r="A83" s="5">
        <v>79</v>
      </c>
      <c r="B83" s="6"/>
      <c r="C83" s="5"/>
      <c r="D83" s="5"/>
      <c r="E83" s="5"/>
      <c r="F83" s="5"/>
      <c r="G83" s="5"/>
      <c r="H83" s="5"/>
      <c r="I83" s="6"/>
      <c r="J83" s="5"/>
      <c r="K83" s="5"/>
      <c r="L83" s="7"/>
      <c r="M83" s="7"/>
      <c r="N83" s="5"/>
      <c r="O83" s="8">
        <f>IF(B83="","",IF(AND(G83="Externe",J83&lt;&gt;"Oui"),"Annexer le rapport",IF(AND(K83="Oui",M83=""),"Suites à décider","Complet")))</f>
      </c>
    </row>
    <row r="84" spans="1:15" x14ac:dyDescent="0.25">
      <c r="A84" s="5">
        <v>80</v>
      </c>
      <c r="B84" s="6"/>
      <c r="C84" s="5"/>
      <c r="D84" s="5"/>
      <c r="E84" s="5"/>
      <c r="F84" s="5"/>
      <c r="G84" s="5"/>
      <c r="H84" s="5"/>
      <c r="I84" s="6"/>
      <c r="J84" s="5"/>
      <c r="K84" s="5"/>
      <c r="L84" s="7"/>
      <c r="M84" s="7"/>
      <c r="N84" s="5"/>
      <c r="O84" s="8">
        <f>IF(B84="","",IF(AND(G84="Externe",J84&lt;&gt;"Oui"),"Annexer le rapport",IF(AND(K84="Oui",M84=""),"Suites à décider","Complet")))</f>
      </c>
    </row>
    <row r="85" spans="1:15" x14ac:dyDescent="0.25">
      <c r="A85" s="5">
        <v>81</v>
      </c>
      <c r="B85" s="6"/>
      <c r="C85" s="5"/>
      <c r="D85" s="5"/>
      <c r="E85" s="5"/>
      <c r="F85" s="5"/>
      <c r="G85" s="5"/>
      <c r="H85" s="5"/>
      <c r="I85" s="6"/>
      <c r="J85" s="5"/>
      <c r="K85" s="5"/>
      <c r="L85" s="7"/>
      <c r="M85" s="7"/>
      <c r="N85" s="5"/>
      <c r="O85" s="8">
        <f>IF(B85="","",IF(AND(G85="Externe",J85&lt;&gt;"Oui"),"Annexer le rapport",IF(AND(K85="Oui",M85=""),"Suites à décider","Complet")))</f>
      </c>
    </row>
    <row r="86" spans="1:15" x14ac:dyDescent="0.25">
      <c r="A86" s="5">
        <v>82</v>
      </c>
      <c r="B86" s="6"/>
      <c r="C86" s="5"/>
      <c r="D86" s="5"/>
      <c r="E86" s="5"/>
      <c r="F86" s="5"/>
      <c r="G86" s="5"/>
      <c r="H86" s="5"/>
      <c r="I86" s="6"/>
      <c r="J86" s="5"/>
      <c r="K86" s="5"/>
      <c r="L86" s="7"/>
      <c r="M86" s="7"/>
      <c r="N86" s="5"/>
      <c r="O86" s="8">
        <f>IF(B86="","",IF(AND(G86="Externe",J86&lt;&gt;"Oui"),"Annexer le rapport",IF(AND(K86="Oui",M86=""),"Suites à décider","Complet")))</f>
      </c>
    </row>
    <row r="87" spans="1:15" x14ac:dyDescent="0.25">
      <c r="A87" s="5">
        <v>83</v>
      </c>
      <c r="B87" s="6"/>
      <c r="C87" s="5"/>
      <c r="D87" s="5"/>
      <c r="E87" s="5"/>
      <c r="F87" s="5"/>
      <c r="G87" s="5"/>
      <c r="H87" s="5"/>
      <c r="I87" s="6"/>
      <c r="J87" s="5"/>
      <c r="K87" s="5"/>
      <c r="L87" s="7"/>
      <c r="M87" s="7"/>
      <c r="N87" s="5"/>
      <c r="O87" s="8">
        <f>IF(B87="","",IF(AND(G87="Externe",J87&lt;&gt;"Oui"),"Annexer le rapport",IF(AND(K87="Oui",M87=""),"Suites à décider","Complet")))</f>
      </c>
    </row>
    <row r="88" spans="1:15" x14ac:dyDescent="0.25">
      <c r="A88" s="5">
        <v>84</v>
      </c>
      <c r="B88" s="6"/>
      <c r="C88" s="5"/>
      <c r="D88" s="5"/>
      <c r="E88" s="5"/>
      <c r="F88" s="5"/>
      <c r="G88" s="5"/>
      <c r="H88" s="5"/>
      <c r="I88" s="6"/>
      <c r="J88" s="5"/>
      <c r="K88" s="5"/>
      <c r="L88" s="7"/>
      <c r="M88" s="7"/>
      <c r="N88" s="5"/>
      <c r="O88" s="8">
        <f>IF(B88="","",IF(AND(G88="Externe",J88&lt;&gt;"Oui"),"Annexer le rapport",IF(AND(K88="Oui",M88=""),"Suites à décider","Complet")))</f>
      </c>
    </row>
    <row r="89" spans="1:15" x14ac:dyDescent="0.25">
      <c r="A89" s="5">
        <v>85</v>
      </c>
      <c r="B89" s="6"/>
      <c r="C89" s="5"/>
      <c r="D89" s="5"/>
      <c r="E89" s="5"/>
      <c r="F89" s="5"/>
      <c r="G89" s="5"/>
      <c r="H89" s="5"/>
      <c r="I89" s="6"/>
      <c r="J89" s="5"/>
      <c r="K89" s="5"/>
      <c r="L89" s="7"/>
      <c r="M89" s="7"/>
      <c r="N89" s="5"/>
      <c r="O89" s="8">
        <f>IF(B89="","",IF(AND(G89="Externe",J89&lt;&gt;"Oui"),"Annexer le rapport",IF(AND(K89="Oui",M89=""),"Suites à décider","Complet")))</f>
      </c>
    </row>
    <row r="90" spans="1:15" x14ac:dyDescent="0.25">
      <c r="A90" s="5">
        <v>86</v>
      </c>
      <c r="B90" s="6"/>
      <c r="C90" s="5"/>
      <c r="D90" s="5"/>
      <c r="E90" s="5"/>
      <c r="F90" s="5"/>
      <c r="G90" s="5"/>
      <c r="H90" s="5"/>
      <c r="I90" s="6"/>
      <c r="J90" s="5"/>
      <c r="K90" s="5"/>
      <c r="L90" s="7"/>
      <c r="M90" s="7"/>
      <c r="N90" s="5"/>
      <c r="O90" s="8">
        <f>IF(B90="","",IF(AND(G90="Externe",J90&lt;&gt;"Oui"),"Annexer le rapport",IF(AND(K90="Oui",M90=""),"Suites à décider","Complet")))</f>
      </c>
    </row>
    <row r="91" spans="1:15" x14ac:dyDescent="0.25">
      <c r="A91" s="5">
        <v>87</v>
      </c>
      <c r="B91" s="6"/>
      <c r="C91" s="5"/>
      <c r="D91" s="5"/>
      <c r="E91" s="5"/>
      <c r="F91" s="5"/>
      <c r="G91" s="5"/>
      <c r="H91" s="5"/>
      <c r="I91" s="6"/>
      <c r="J91" s="5"/>
      <c r="K91" s="5"/>
      <c r="L91" s="7"/>
      <c r="M91" s="7"/>
      <c r="N91" s="5"/>
      <c r="O91" s="8">
        <f>IF(B91="","",IF(AND(G91="Externe",J91&lt;&gt;"Oui"),"Annexer le rapport",IF(AND(K91="Oui",M91=""),"Suites à décider","Complet")))</f>
      </c>
    </row>
    <row r="92" spans="1:15" x14ac:dyDescent="0.25">
      <c r="A92" s="5">
        <v>88</v>
      </c>
      <c r="B92" s="6"/>
      <c r="C92" s="5"/>
      <c r="D92" s="5"/>
      <c r="E92" s="5"/>
      <c r="F92" s="5"/>
      <c r="G92" s="5"/>
      <c r="H92" s="5"/>
      <c r="I92" s="6"/>
      <c r="J92" s="5"/>
      <c r="K92" s="5"/>
      <c r="L92" s="7"/>
      <c r="M92" s="7"/>
      <c r="N92" s="5"/>
      <c r="O92" s="8">
        <f>IF(B92="","",IF(AND(G92="Externe",J92&lt;&gt;"Oui"),"Annexer le rapport",IF(AND(K92="Oui",M92=""),"Suites à décider","Complet")))</f>
      </c>
    </row>
    <row r="93" spans="1:15" x14ac:dyDescent="0.25">
      <c r="A93" s="5">
        <v>89</v>
      </c>
      <c r="B93" s="6"/>
      <c r="C93" s="5"/>
      <c r="D93" s="5"/>
      <c r="E93" s="5"/>
      <c r="F93" s="5"/>
      <c r="G93" s="5"/>
      <c r="H93" s="5"/>
      <c r="I93" s="6"/>
      <c r="J93" s="5"/>
      <c r="K93" s="5"/>
      <c r="L93" s="7"/>
      <c r="M93" s="7"/>
      <c r="N93" s="5"/>
      <c r="O93" s="8">
        <f>IF(B93="","",IF(AND(G93="Externe",J93&lt;&gt;"Oui"),"Annexer le rapport",IF(AND(K93="Oui",M93=""),"Suites à décider","Complet")))</f>
      </c>
    </row>
    <row r="94" spans="1:15" x14ac:dyDescent="0.25">
      <c r="A94" s="5">
        <v>90</v>
      </c>
      <c r="B94" s="6"/>
      <c r="C94" s="5"/>
      <c r="D94" s="5"/>
      <c r="E94" s="5"/>
      <c r="F94" s="5"/>
      <c r="G94" s="5"/>
      <c r="H94" s="5"/>
      <c r="I94" s="6"/>
      <c r="J94" s="5"/>
      <c r="K94" s="5"/>
      <c r="L94" s="7"/>
      <c r="M94" s="7"/>
      <c r="N94" s="5"/>
      <c r="O94" s="8">
        <f>IF(B94="","",IF(AND(G94="Externe",J94&lt;&gt;"Oui"),"Annexer le rapport",IF(AND(K94="Oui",M94=""),"Suites à décider","Complet")))</f>
      </c>
    </row>
    <row r="95" spans="1:15" x14ac:dyDescent="0.25">
      <c r="A95" s="5">
        <v>91</v>
      </c>
      <c r="B95" s="6"/>
      <c r="C95" s="5"/>
      <c r="D95" s="5"/>
      <c r="E95" s="5"/>
      <c r="F95" s="5"/>
      <c r="G95" s="5"/>
      <c r="H95" s="5"/>
      <c r="I95" s="6"/>
      <c r="J95" s="5"/>
      <c r="K95" s="5"/>
      <c r="L95" s="7"/>
      <c r="M95" s="7"/>
      <c r="N95" s="5"/>
      <c r="O95" s="8">
        <f>IF(B95="","",IF(AND(G95="Externe",J95&lt;&gt;"Oui"),"Annexer le rapport",IF(AND(K95="Oui",M95=""),"Suites à décider","Complet")))</f>
      </c>
    </row>
    <row r="96" spans="1:15" x14ac:dyDescent="0.25">
      <c r="A96" s="5">
        <v>92</v>
      </c>
      <c r="B96" s="6"/>
      <c r="C96" s="5"/>
      <c r="D96" s="5"/>
      <c r="E96" s="5"/>
      <c r="F96" s="5"/>
      <c r="G96" s="5"/>
      <c r="H96" s="5"/>
      <c r="I96" s="6"/>
      <c r="J96" s="5"/>
      <c r="K96" s="5"/>
      <c r="L96" s="7"/>
      <c r="M96" s="7"/>
      <c r="N96" s="5"/>
      <c r="O96" s="8">
        <f>IF(B96="","",IF(AND(G96="Externe",J96&lt;&gt;"Oui"),"Annexer le rapport",IF(AND(K96="Oui",M96=""),"Suites à décider","Complet")))</f>
      </c>
    </row>
    <row r="97" spans="1:15" x14ac:dyDescent="0.25">
      <c r="A97" s="5">
        <v>93</v>
      </c>
      <c r="B97" s="6"/>
      <c r="C97" s="5"/>
      <c r="D97" s="5"/>
      <c r="E97" s="5"/>
      <c r="F97" s="5"/>
      <c r="G97" s="5"/>
      <c r="H97" s="5"/>
      <c r="I97" s="6"/>
      <c r="J97" s="5"/>
      <c r="K97" s="5"/>
      <c r="L97" s="7"/>
      <c r="M97" s="7"/>
      <c r="N97" s="5"/>
      <c r="O97" s="8">
        <f>IF(B97="","",IF(AND(G97="Externe",J97&lt;&gt;"Oui"),"Annexer le rapport",IF(AND(K97="Oui",M97=""),"Suites à décider","Complet")))</f>
      </c>
    </row>
    <row r="98" spans="1:15" x14ac:dyDescent="0.25">
      <c r="A98" s="5">
        <v>94</v>
      </c>
      <c r="B98" s="6"/>
      <c r="C98" s="5"/>
      <c r="D98" s="5"/>
      <c r="E98" s="5"/>
      <c r="F98" s="5"/>
      <c r="G98" s="5"/>
      <c r="H98" s="5"/>
      <c r="I98" s="6"/>
      <c r="J98" s="5"/>
      <c r="K98" s="5"/>
      <c r="L98" s="7"/>
      <c r="M98" s="7"/>
      <c r="N98" s="5"/>
      <c r="O98" s="8">
        <f>IF(B98="","",IF(AND(G98="Externe",J98&lt;&gt;"Oui"),"Annexer le rapport",IF(AND(K98="Oui",M98=""),"Suites à décider","Complet")))</f>
      </c>
    </row>
    <row r="99" spans="1:15" x14ac:dyDescent="0.25">
      <c r="A99" s="5">
        <v>95</v>
      </c>
      <c r="B99" s="6"/>
      <c r="C99" s="5"/>
      <c r="D99" s="5"/>
      <c r="E99" s="5"/>
      <c r="F99" s="5"/>
      <c r="G99" s="5"/>
      <c r="H99" s="5"/>
      <c r="I99" s="6"/>
      <c r="J99" s="5"/>
      <c r="K99" s="5"/>
      <c r="L99" s="7"/>
      <c r="M99" s="7"/>
      <c r="N99" s="5"/>
      <c r="O99" s="8">
        <f>IF(B99="","",IF(AND(G99="Externe",J99&lt;&gt;"Oui"),"Annexer le rapport",IF(AND(K99="Oui",M99=""),"Suites à décider","Complet")))</f>
      </c>
    </row>
    <row r="100" spans="1:15" x14ac:dyDescent="0.25">
      <c r="A100" s="5">
        <v>96</v>
      </c>
      <c r="B100" s="6"/>
      <c r="C100" s="5"/>
      <c r="D100" s="5"/>
      <c r="E100" s="5"/>
      <c r="F100" s="5"/>
      <c r="G100" s="5"/>
      <c r="H100" s="5"/>
      <c r="I100" s="6"/>
      <c r="J100" s="5"/>
      <c r="K100" s="5"/>
      <c r="L100" s="7"/>
      <c r="M100" s="7"/>
      <c r="N100" s="5"/>
      <c r="O100" s="8">
        <f>IF(B100="","",IF(AND(G100="Externe",J100&lt;&gt;"Oui"),"Annexer le rapport",IF(AND(K100="Oui",M100=""),"Suites à décider","Complet")))</f>
      </c>
    </row>
    <row r="101" spans="1:15" x14ac:dyDescent="0.25">
      <c r="A101" s="5">
        <v>97</v>
      </c>
      <c r="B101" s="6"/>
      <c r="C101" s="5"/>
      <c r="D101" s="5"/>
      <c r="E101" s="5"/>
      <c r="F101" s="5"/>
      <c r="G101" s="5"/>
      <c r="H101" s="5"/>
      <c r="I101" s="6"/>
      <c r="J101" s="5"/>
      <c r="K101" s="5"/>
      <c r="L101" s="7"/>
      <c r="M101" s="7"/>
      <c r="N101" s="5"/>
      <c r="O101" s="8">
        <f>IF(B101="","",IF(AND(G101="Externe",J101&lt;&gt;"Oui"),"Annexer le rapport",IF(AND(K101="Oui",M101=""),"Suites à décider","Complet")))</f>
      </c>
    </row>
    <row r="102" spans="1:15" x14ac:dyDescent="0.25">
      <c r="A102" s="5">
        <v>98</v>
      </c>
      <c r="B102" s="6"/>
      <c r="C102" s="5"/>
      <c r="D102" s="5"/>
      <c r="E102" s="5"/>
      <c r="F102" s="5"/>
      <c r="G102" s="5"/>
      <c r="H102" s="5"/>
      <c r="I102" s="6"/>
      <c r="J102" s="5"/>
      <c r="K102" s="5"/>
      <c r="L102" s="7"/>
      <c r="M102" s="7"/>
      <c r="N102" s="5"/>
      <c r="O102" s="8">
        <f>IF(B102="","",IF(AND(G102="Externe",J102&lt;&gt;"Oui"),"Annexer le rapport",IF(AND(K102="Oui",M102=""),"Suites à décider","Complet")))</f>
      </c>
    </row>
    <row r="103" spans="1:15" x14ac:dyDescent="0.25">
      <c r="A103" s="5">
        <v>99</v>
      </c>
      <c r="B103" s="6"/>
      <c r="C103" s="5"/>
      <c r="D103" s="5"/>
      <c r="E103" s="5"/>
      <c r="F103" s="5"/>
      <c r="G103" s="5"/>
      <c r="H103" s="5"/>
      <c r="I103" s="6"/>
      <c r="J103" s="5"/>
      <c r="K103" s="5"/>
      <c r="L103" s="7"/>
      <c r="M103" s="7"/>
      <c r="N103" s="5"/>
      <c r="O103" s="8">
        <f>IF(B103="","",IF(AND(G103="Externe",J103&lt;&gt;"Oui"),"Annexer le rapport",IF(AND(K103="Oui",M103=""),"Suites à décider","Complet")))</f>
      </c>
    </row>
    <row r="104" spans="1:15" x14ac:dyDescent="0.25">
      <c r="A104" s="5">
        <v>100</v>
      </c>
      <c r="B104" s="6"/>
      <c r="C104" s="5"/>
      <c r="D104" s="5"/>
      <c r="E104" s="5"/>
      <c r="F104" s="5"/>
      <c r="G104" s="5"/>
      <c r="H104" s="5"/>
      <c r="I104" s="6"/>
      <c r="J104" s="5"/>
      <c r="K104" s="5"/>
      <c r="L104" s="7"/>
      <c r="M104" s="7"/>
      <c r="N104" s="5"/>
      <c r="O104" s="8">
        <f>IF(B104="","",IF(AND(G104="Externe",J104&lt;&gt;"Oui"),"Annexer le rapport",IF(AND(K104="Oui",M104=""),"Suites à décider","Complet")))</f>
      </c>
    </row>
    <row r="105" spans="1:15" x14ac:dyDescent="0.25">
      <c r="A105" s="5">
        <v>101</v>
      </c>
      <c r="B105" s="6"/>
      <c r="C105" s="5"/>
      <c r="D105" s="5"/>
      <c r="E105" s="5"/>
      <c r="F105" s="5"/>
      <c r="G105" s="5"/>
      <c r="H105" s="5"/>
      <c r="I105" s="6"/>
      <c r="J105" s="5"/>
      <c r="K105" s="5"/>
      <c r="L105" s="7"/>
      <c r="M105" s="7"/>
      <c r="N105" s="5"/>
      <c r="O105" s="8">
        <f>IF(B105="","",IF(AND(G105="Externe",J105&lt;&gt;"Oui"),"Annexer le rapport",IF(AND(K105="Oui",M105=""),"Suites à décider","Complet")))</f>
      </c>
    </row>
    <row r="106" spans="1:15" x14ac:dyDescent="0.25">
      <c r="A106" s="5">
        <v>102</v>
      </c>
      <c r="B106" s="6"/>
      <c r="C106" s="5"/>
      <c r="D106" s="5"/>
      <c r="E106" s="5"/>
      <c r="F106" s="5"/>
      <c r="G106" s="5"/>
      <c r="H106" s="5"/>
      <c r="I106" s="6"/>
      <c r="J106" s="5"/>
      <c r="K106" s="5"/>
      <c r="L106" s="7"/>
      <c r="M106" s="7"/>
      <c r="N106" s="5"/>
      <c r="O106" s="8">
        <f>IF(B106="","",IF(AND(G106="Externe",J106&lt;&gt;"Oui"),"Annexer le rapport",IF(AND(K106="Oui",M106=""),"Suites à décider","Complet")))</f>
      </c>
    </row>
    <row r="107" spans="1:15" x14ac:dyDescent="0.25">
      <c r="A107" s="5">
        <v>103</v>
      </c>
      <c r="B107" s="6"/>
      <c r="C107" s="5"/>
      <c r="D107" s="5"/>
      <c r="E107" s="5"/>
      <c r="F107" s="5"/>
      <c r="G107" s="5"/>
      <c r="H107" s="5"/>
      <c r="I107" s="6"/>
      <c r="J107" s="5"/>
      <c r="K107" s="5"/>
      <c r="L107" s="7"/>
      <c r="M107" s="7"/>
      <c r="N107" s="5"/>
      <c r="O107" s="8">
        <f>IF(B107="","",IF(AND(G107="Externe",J107&lt;&gt;"Oui"),"Annexer le rapport",IF(AND(K107="Oui",M107=""),"Suites à décider","Complet")))</f>
      </c>
    </row>
    <row r="108" spans="1:15" x14ac:dyDescent="0.25">
      <c r="A108" s="5">
        <v>104</v>
      </c>
      <c r="B108" s="6"/>
      <c r="C108" s="5"/>
      <c r="D108" s="5"/>
      <c r="E108" s="5"/>
      <c r="F108" s="5"/>
      <c r="G108" s="5"/>
      <c r="H108" s="5"/>
      <c r="I108" s="6"/>
      <c r="J108" s="5"/>
      <c r="K108" s="5"/>
      <c r="L108" s="7"/>
      <c r="M108" s="7"/>
      <c r="N108" s="5"/>
      <c r="O108" s="8">
        <f>IF(B108="","",IF(AND(G108="Externe",J108&lt;&gt;"Oui"),"Annexer le rapport",IF(AND(K108="Oui",M108=""),"Suites à décider","Complet")))</f>
      </c>
    </row>
    <row r="109" spans="1:15" x14ac:dyDescent="0.25">
      <c r="A109" s="5">
        <v>105</v>
      </c>
      <c r="B109" s="6"/>
      <c r="C109" s="5"/>
      <c r="D109" s="5"/>
      <c r="E109" s="5"/>
      <c r="F109" s="5"/>
      <c r="G109" s="5"/>
      <c r="H109" s="5"/>
      <c r="I109" s="6"/>
      <c r="J109" s="5"/>
      <c r="K109" s="5"/>
      <c r="L109" s="7"/>
      <c r="M109" s="7"/>
      <c r="N109" s="5"/>
      <c r="O109" s="8">
        <f>IF(B109="","",IF(AND(G109="Externe",J109&lt;&gt;"Oui"),"Annexer le rapport",IF(AND(K109="Oui",M109=""),"Suites à décider","Complet")))</f>
      </c>
    </row>
    <row r="110" spans="1:15" x14ac:dyDescent="0.25">
      <c r="A110" s="5">
        <v>106</v>
      </c>
      <c r="B110" s="6"/>
      <c r="C110" s="5"/>
      <c r="D110" s="5"/>
      <c r="E110" s="5"/>
      <c r="F110" s="5"/>
      <c r="G110" s="5"/>
      <c r="H110" s="5"/>
      <c r="I110" s="6"/>
      <c r="J110" s="5"/>
      <c r="K110" s="5"/>
      <c r="L110" s="7"/>
      <c r="M110" s="7"/>
      <c r="N110" s="5"/>
      <c r="O110" s="8">
        <f>IF(B110="","",IF(AND(G110="Externe",J110&lt;&gt;"Oui"),"Annexer le rapport",IF(AND(K110="Oui",M110=""),"Suites à décider","Complet")))</f>
      </c>
    </row>
    <row r="111" spans="1:15" x14ac:dyDescent="0.25">
      <c r="A111" s="5">
        <v>107</v>
      </c>
      <c r="B111" s="6"/>
      <c r="C111" s="5"/>
      <c r="D111" s="5"/>
      <c r="E111" s="5"/>
      <c r="F111" s="5"/>
      <c r="G111" s="5"/>
      <c r="H111" s="5"/>
      <c r="I111" s="6"/>
      <c r="J111" s="5"/>
      <c r="K111" s="5"/>
      <c r="L111" s="7"/>
      <c r="M111" s="7"/>
      <c r="N111" s="5"/>
      <c r="O111" s="8">
        <f>IF(B111="","",IF(AND(G111="Externe",J111&lt;&gt;"Oui"),"Annexer le rapport",IF(AND(K111="Oui",M111=""),"Suites à décider","Complet")))</f>
      </c>
    </row>
    <row r="112" spans="1:15" x14ac:dyDescent="0.25">
      <c r="A112" s="5">
        <v>108</v>
      </c>
      <c r="B112" s="6"/>
      <c r="C112" s="5"/>
      <c r="D112" s="5"/>
      <c r="E112" s="5"/>
      <c r="F112" s="5"/>
      <c r="G112" s="5"/>
      <c r="H112" s="5"/>
      <c r="I112" s="6"/>
      <c r="J112" s="5"/>
      <c r="K112" s="5"/>
      <c r="L112" s="7"/>
      <c r="M112" s="7"/>
      <c r="N112" s="5"/>
      <c r="O112" s="8">
        <f>IF(B112="","",IF(AND(G112="Externe",J112&lt;&gt;"Oui"),"Annexer le rapport",IF(AND(K112="Oui",M112=""),"Suites à décider","Complet")))</f>
      </c>
    </row>
    <row r="113" spans="1:15" x14ac:dyDescent="0.25">
      <c r="A113" s="5">
        <v>109</v>
      </c>
      <c r="B113" s="6"/>
      <c r="C113" s="5"/>
      <c r="D113" s="5"/>
      <c r="E113" s="5"/>
      <c r="F113" s="5"/>
      <c r="G113" s="5"/>
      <c r="H113" s="5"/>
      <c r="I113" s="6"/>
      <c r="J113" s="5"/>
      <c r="K113" s="5"/>
      <c r="L113" s="7"/>
      <c r="M113" s="7"/>
      <c r="N113" s="5"/>
      <c r="O113" s="8">
        <f>IF(B113="","",IF(AND(G113="Externe",J113&lt;&gt;"Oui"),"Annexer le rapport",IF(AND(K113="Oui",M113=""),"Suites à décider","Complet")))</f>
      </c>
    </row>
    <row r="114" spans="1:15" x14ac:dyDescent="0.25">
      <c r="A114" s="5">
        <v>110</v>
      </c>
      <c r="B114" s="6"/>
      <c r="C114" s="5"/>
      <c r="D114" s="5"/>
      <c r="E114" s="5"/>
      <c r="F114" s="5"/>
      <c r="G114" s="5"/>
      <c r="H114" s="5"/>
      <c r="I114" s="6"/>
      <c r="J114" s="5"/>
      <c r="K114" s="5"/>
      <c r="L114" s="7"/>
      <c r="M114" s="7"/>
      <c r="N114" s="5"/>
      <c r="O114" s="8">
        <f>IF(B114="","",IF(AND(G114="Externe",J114&lt;&gt;"Oui"),"Annexer le rapport",IF(AND(K114="Oui",M114=""),"Suites à décider","Complet")))</f>
      </c>
    </row>
    <row r="115" spans="1:15" x14ac:dyDescent="0.25">
      <c r="A115" s="5">
        <v>111</v>
      </c>
      <c r="B115" s="6"/>
      <c r="C115" s="5"/>
      <c r="D115" s="5"/>
      <c r="E115" s="5"/>
      <c r="F115" s="5"/>
      <c r="G115" s="5"/>
      <c r="H115" s="5"/>
      <c r="I115" s="6"/>
      <c r="J115" s="5"/>
      <c r="K115" s="5"/>
      <c r="L115" s="7"/>
      <c r="M115" s="7"/>
      <c r="N115" s="5"/>
      <c r="O115" s="8">
        <f>IF(B115="","",IF(AND(G115="Externe",J115&lt;&gt;"Oui"),"Annexer le rapport",IF(AND(K115="Oui",M115=""),"Suites à décider","Complet")))</f>
      </c>
    </row>
    <row r="116" spans="1:15" x14ac:dyDescent="0.25">
      <c r="A116" s="5">
        <v>112</v>
      </c>
      <c r="B116" s="6"/>
      <c r="C116" s="5"/>
      <c r="D116" s="5"/>
      <c r="E116" s="5"/>
      <c r="F116" s="5"/>
      <c r="G116" s="5"/>
      <c r="H116" s="5"/>
      <c r="I116" s="6"/>
      <c r="J116" s="5"/>
      <c r="K116" s="5"/>
      <c r="L116" s="7"/>
      <c r="M116" s="7"/>
      <c r="N116" s="5"/>
      <c r="O116" s="8">
        <f>IF(B116="","",IF(AND(G116="Externe",J116&lt;&gt;"Oui"),"Annexer le rapport",IF(AND(K116="Oui",M116=""),"Suites à décider","Complet")))</f>
      </c>
    </row>
    <row r="117" spans="1:15" x14ac:dyDescent="0.25">
      <c r="A117" s="5">
        <v>113</v>
      </c>
      <c r="B117" s="6"/>
      <c r="C117" s="5"/>
      <c r="D117" s="5"/>
      <c r="E117" s="5"/>
      <c r="F117" s="5"/>
      <c r="G117" s="5"/>
      <c r="H117" s="5"/>
      <c r="I117" s="6"/>
      <c r="J117" s="5"/>
      <c r="K117" s="5"/>
      <c r="L117" s="7"/>
      <c r="M117" s="7"/>
      <c r="N117" s="5"/>
      <c r="O117" s="8">
        <f>IF(B117="","",IF(AND(G117="Externe",J117&lt;&gt;"Oui"),"Annexer le rapport",IF(AND(K117="Oui",M117=""),"Suites à décider","Complet")))</f>
      </c>
    </row>
    <row r="118" spans="1:15" x14ac:dyDescent="0.25">
      <c r="A118" s="5">
        <v>114</v>
      </c>
      <c r="B118" s="6"/>
      <c r="C118" s="5"/>
      <c r="D118" s="5"/>
      <c r="E118" s="5"/>
      <c r="F118" s="5"/>
      <c r="G118" s="5"/>
      <c r="H118" s="5"/>
      <c r="I118" s="6"/>
      <c r="J118" s="5"/>
      <c r="K118" s="5"/>
      <c r="L118" s="7"/>
      <c r="M118" s="7"/>
      <c r="N118" s="5"/>
      <c r="O118" s="8">
        <f>IF(B118="","",IF(AND(G118="Externe",J118&lt;&gt;"Oui"),"Annexer le rapport",IF(AND(K118="Oui",M118=""),"Suites à décider","Complet")))</f>
      </c>
    </row>
    <row r="119" spans="1:15" x14ac:dyDescent="0.25">
      <c r="A119" s="5">
        <v>115</v>
      </c>
      <c r="B119" s="6"/>
      <c r="C119" s="5"/>
      <c r="D119" s="5"/>
      <c r="E119" s="5"/>
      <c r="F119" s="5"/>
      <c r="G119" s="5"/>
      <c r="H119" s="5"/>
      <c r="I119" s="6"/>
      <c r="J119" s="5"/>
      <c r="K119" s="5"/>
      <c r="L119" s="7"/>
      <c r="M119" s="7"/>
      <c r="N119" s="5"/>
      <c r="O119" s="8">
        <f>IF(B119="","",IF(AND(G119="Externe",J119&lt;&gt;"Oui"),"Annexer le rapport",IF(AND(K119="Oui",M119=""),"Suites à décider","Complet")))</f>
      </c>
    </row>
    <row r="120" spans="1:15" x14ac:dyDescent="0.25">
      <c r="A120" s="5">
        <v>116</v>
      </c>
      <c r="B120" s="6"/>
      <c r="C120" s="5"/>
      <c r="D120" s="5"/>
      <c r="E120" s="5"/>
      <c r="F120" s="5"/>
      <c r="G120" s="5"/>
      <c r="H120" s="5"/>
      <c r="I120" s="6"/>
      <c r="J120" s="5"/>
      <c r="K120" s="5"/>
      <c r="L120" s="7"/>
      <c r="M120" s="7"/>
      <c r="N120" s="5"/>
      <c r="O120" s="8">
        <f>IF(B120="","",IF(AND(G120="Externe",J120&lt;&gt;"Oui"),"Annexer le rapport",IF(AND(K120="Oui",M120=""),"Suites à décider","Complet")))</f>
      </c>
    </row>
    <row r="121" spans="1:15" x14ac:dyDescent="0.25">
      <c r="A121" s="5">
        <v>117</v>
      </c>
      <c r="B121" s="6"/>
      <c r="C121" s="5"/>
      <c r="D121" s="5"/>
      <c r="E121" s="5"/>
      <c r="F121" s="5"/>
      <c r="G121" s="5"/>
      <c r="H121" s="5"/>
      <c r="I121" s="6"/>
      <c r="J121" s="5"/>
      <c r="K121" s="5"/>
      <c r="L121" s="7"/>
      <c r="M121" s="7"/>
      <c r="N121" s="5"/>
      <c r="O121" s="8">
        <f>IF(B121="","",IF(AND(G121="Externe",J121&lt;&gt;"Oui"),"Annexer le rapport",IF(AND(K121="Oui",M121=""),"Suites à décider","Complet")))</f>
      </c>
    </row>
    <row r="122" spans="1:15" x14ac:dyDescent="0.25">
      <c r="A122" s="5">
        <v>118</v>
      </c>
      <c r="B122" s="6"/>
      <c r="C122" s="5"/>
      <c r="D122" s="5"/>
      <c r="E122" s="5"/>
      <c r="F122" s="5"/>
      <c r="G122" s="5"/>
      <c r="H122" s="5"/>
      <c r="I122" s="6"/>
      <c r="J122" s="5"/>
      <c r="K122" s="5"/>
      <c r="L122" s="7"/>
      <c r="M122" s="7"/>
      <c r="N122" s="5"/>
      <c r="O122" s="8">
        <f>IF(B122="","",IF(AND(G122="Externe",J122&lt;&gt;"Oui"),"Annexer le rapport",IF(AND(K122="Oui",M122=""),"Suites à décider","Complet")))</f>
      </c>
    </row>
    <row r="123" spans="1:15" x14ac:dyDescent="0.25">
      <c r="A123" s="5">
        <v>119</v>
      </c>
      <c r="B123" s="6"/>
      <c r="C123" s="5"/>
      <c r="D123" s="5"/>
      <c r="E123" s="5"/>
      <c r="F123" s="5"/>
      <c r="G123" s="5"/>
      <c r="H123" s="5"/>
      <c r="I123" s="6"/>
      <c r="J123" s="5"/>
      <c r="K123" s="5"/>
      <c r="L123" s="7"/>
      <c r="M123" s="7"/>
      <c r="N123" s="5"/>
      <c r="O123" s="8">
        <f>IF(B123="","",IF(AND(G123="Externe",J123&lt;&gt;"Oui"),"Annexer le rapport",IF(AND(K123="Oui",M123=""),"Suites à décider","Complet")))</f>
      </c>
    </row>
    <row r="124" spans="1:15" x14ac:dyDescent="0.25">
      <c r="A124" s="5">
        <v>120</v>
      </c>
      <c r="B124" s="6"/>
      <c r="C124" s="5"/>
      <c r="D124" s="5"/>
      <c r="E124" s="5"/>
      <c r="F124" s="5"/>
      <c r="G124" s="5"/>
      <c r="H124" s="5"/>
      <c r="I124" s="6"/>
      <c r="J124" s="5"/>
      <c r="K124" s="5"/>
      <c r="L124" s="7"/>
      <c r="M124" s="7"/>
      <c r="N124" s="5"/>
      <c r="O124" s="8">
        <f>IF(B124="","",IF(AND(G124="Externe",J124&lt;&gt;"Oui"),"Annexer le rapport",IF(AND(K124="Oui",M124=""),"Suites à décider","Complet")))</f>
      </c>
    </row>
    <row r="125" spans="1:15" x14ac:dyDescent="0.25">
      <c r="A125" s="5">
        <v>121</v>
      </c>
      <c r="B125" s="6"/>
      <c r="C125" s="5"/>
      <c r="D125" s="5"/>
      <c r="E125" s="5"/>
      <c r="F125" s="5"/>
      <c r="G125" s="5"/>
      <c r="H125" s="5"/>
      <c r="I125" s="6"/>
      <c r="J125" s="5"/>
      <c r="K125" s="5"/>
      <c r="L125" s="7"/>
      <c r="M125" s="7"/>
      <c r="N125" s="5"/>
      <c r="O125" s="8">
        <f>IF(B125="","",IF(AND(G125="Externe",J125&lt;&gt;"Oui"),"Annexer le rapport",IF(AND(K125="Oui",M125=""),"Suites à décider","Complet")))</f>
      </c>
    </row>
    <row r="126" spans="1:15" x14ac:dyDescent="0.25">
      <c r="A126" s="5">
        <v>122</v>
      </c>
      <c r="B126" s="6"/>
      <c r="C126" s="5"/>
      <c r="D126" s="5"/>
      <c r="E126" s="5"/>
      <c r="F126" s="5"/>
      <c r="G126" s="5"/>
      <c r="H126" s="5"/>
      <c r="I126" s="6"/>
      <c r="J126" s="5"/>
      <c r="K126" s="5"/>
      <c r="L126" s="7"/>
      <c r="M126" s="7"/>
      <c r="N126" s="5"/>
      <c r="O126" s="8">
        <f>IF(B126="","",IF(AND(G126="Externe",J126&lt;&gt;"Oui"),"Annexer le rapport",IF(AND(K126="Oui",M126=""),"Suites à décider","Complet")))</f>
      </c>
    </row>
    <row r="127" spans="1:15" x14ac:dyDescent="0.25">
      <c r="A127" s="5">
        <v>123</v>
      </c>
      <c r="B127" s="6"/>
      <c r="C127" s="5"/>
      <c r="D127" s="5"/>
      <c r="E127" s="5"/>
      <c r="F127" s="5"/>
      <c r="G127" s="5"/>
      <c r="H127" s="5"/>
      <c r="I127" s="6"/>
      <c r="J127" s="5"/>
      <c r="K127" s="5"/>
      <c r="L127" s="7"/>
      <c r="M127" s="7"/>
      <c r="N127" s="5"/>
      <c r="O127" s="8">
        <f>IF(B127="","",IF(AND(G127="Externe",J127&lt;&gt;"Oui"),"Annexer le rapport",IF(AND(K127="Oui",M127=""),"Suites à décider","Complet")))</f>
      </c>
    </row>
    <row r="128" spans="1:15" x14ac:dyDescent="0.25">
      <c r="A128" s="5">
        <v>124</v>
      </c>
      <c r="B128" s="6"/>
      <c r="C128" s="5"/>
      <c r="D128" s="5"/>
      <c r="E128" s="5"/>
      <c r="F128" s="5"/>
      <c r="G128" s="5"/>
      <c r="H128" s="5"/>
      <c r="I128" s="6"/>
      <c r="J128" s="5"/>
      <c r="K128" s="5"/>
      <c r="L128" s="7"/>
      <c r="M128" s="7"/>
      <c r="N128" s="5"/>
      <c r="O128" s="8">
        <f>IF(B128="","",IF(AND(G128="Externe",J128&lt;&gt;"Oui"),"Annexer le rapport",IF(AND(K128="Oui",M128=""),"Suites à décider","Complet")))</f>
      </c>
    </row>
    <row r="129" spans="1:15" x14ac:dyDescent="0.25">
      <c r="A129" s="5">
        <v>125</v>
      </c>
      <c r="B129" s="6"/>
      <c r="C129" s="5"/>
      <c r="D129" s="5"/>
      <c r="E129" s="5"/>
      <c r="F129" s="5"/>
      <c r="G129" s="5"/>
      <c r="H129" s="5"/>
      <c r="I129" s="6"/>
      <c r="J129" s="5"/>
      <c r="K129" s="5"/>
      <c r="L129" s="7"/>
      <c r="M129" s="7"/>
      <c r="N129" s="5"/>
      <c r="O129" s="8">
        <f>IF(B129="","",IF(AND(G129="Externe",J129&lt;&gt;"Oui"),"Annexer le rapport",IF(AND(K129="Oui",M129=""),"Suites à décider","Complet")))</f>
      </c>
    </row>
    <row r="130" spans="1:15" x14ac:dyDescent="0.25">
      <c r="A130" s="5">
        <v>126</v>
      </c>
      <c r="B130" s="6"/>
      <c r="C130" s="5"/>
      <c r="D130" s="5"/>
      <c r="E130" s="5"/>
      <c r="F130" s="5"/>
      <c r="G130" s="5"/>
      <c r="H130" s="5"/>
      <c r="I130" s="6"/>
      <c r="J130" s="5"/>
      <c r="K130" s="5"/>
      <c r="L130" s="7"/>
      <c r="M130" s="7"/>
      <c r="N130" s="5"/>
      <c r="O130" s="8">
        <f>IF(B130="","",IF(AND(G130="Externe",J130&lt;&gt;"Oui"),"Annexer le rapport",IF(AND(K130="Oui",M130=""),"Suites à décider","Complet")))</f>
      </c>
    </row>
    <row r="131" spans="1:15" x14ac:dyDescent="0.25">
      <c r="A131" s="5">
        <v>127</v>
      </c>
      <c r="B131" s="6"/>
      <c r="C131" s="5"/>
      <c r="D131" s="5"/>
      <c r="E131" s="5"/>
      <c r="F131" s="5"/>
      <c r="G131" s="5"/>
      <c r="H131" s="5"/>
      <c r="I131" s="6"/>
      <c r="J131" s="5"/>
      <c r="K131" s="5"/>
      <c r="L131" s="7"/>
      <c r="M131" s="7"/>
      <c r="N131" s="5"/>
      <c r="O131" s="8">
        <f>IF(B131="","",IF(AND(G131="Externe",J131&lt;&gt;"Oui"),"Annexer le rapport",IF(AND(K131="Oui",M131=""),"Suites à décider","Complet")))</f>
      </c>
    </row>
    <row r="132" spans="1:15" x14ac:dyDescent="0.25">
      <c r="A132" s="5">
        <v>128</v>
      </c>
      <c r="B132" s="6"/>
      <c r="C132" s="5"/>
      <c r="D132" s="5"/>
      <c r="E132" s="5"/>
      <c r="F132" s="5"/>
      <c r="G132" s="5"/>
      <c r="H132" s="5"/>
      <c r="I132" s="6"/>
      <c r="J132" s="5"/>
      <c r="K132" s="5"/>
      <c r="L132" s="7"/>
      <c r="M132" s="7"/>
      <c r="N132" s="5"/>
      <c r="O132" s="8">
        <f>IF(B132="","",IF(AND(G132="Externe",J132&lt;&gt;"Oui"),"Annexer le rapport",IF(AND(K132="Oui",M132=""),"Suites à décider","Complet")))</f>
      </c>
    </row>
    <row r="133" spans="1:15" x14ac:dyDescent="0.25">
      <c r="A133" s="5">
        <v>129</v>
      </c>
      <c r="B133" s="6"/>
      <c r="C133" s="5"/>
      <c r="D133" s="5"/>
      <c r="E133" s="5"/>
      <c r="F133" s="5"/>
      <c r="G133" s="5"/>
      <c r="H133" s="5"/>
      <c r="I133" s="6"/>
      <c r="J133" s="5"/>
      <c r="K133" s="5"/>
      <c r="L133" s="7"/>
      <c r="M133" s="7"/>
      <c r="N133" s="5"/>
      <c r="O133" s="8">
        <f>IF(B133="","",IF(AND(G133="Externe",J133&lt;&gt;"Oui"),"Annexer le rapport",IF(AND(K133="Oui",M133=""),"Suites à décider","Complet")))</f>
      </c>
    </row>
    <row r="134" spans="1:15" x14ac:dyDescent="0.25">
      <c r="A134" s="5">
        <v>130</v>
      </c>
      <c r="B134" s="6"/>
      <c r="C134" s="5"/>
      <c r="D134" s="5"/>
      <c r="E134" s="5"/>
      <c r="F134" s="5"/>
      <c r="G134" s="5"/>
      <c r="H134" s="5"/>
      <c r="I134" s="6"/>
      <c r="J134" s="5"/>
      <c r="K134" s="5"/>
      <c r="L134" s="7"/>
      <c r="M134" s="7"/>
      <c r="N134" s="5"/>
      <c r="O134" s="8">
        <f>IF(B134="","",IF(AND(G134="Externe",J134&lt;&gt;"Oui"),"Annexer le rapport",IF(AND(K134="Oui",M134=""),"Suites à décider","Complet")))</f>
      </c>
    </row>
    <row r="135" spans="1:15" x14ac:dyDescent="0.25">
      <c r="A135" s="5">
        <v>131</v>
      </c>
      <c r="B135" s="6"/>
      <c r="C135" s="5"/>
      <c r="D135" s="5"/>
      <c r="E135" s="5"/>
      <c r="F135" s="5"/>
      <c r="G135" s="5"/>
      <c r="H135" s="5"/>
      <c r="I135" s="6"/>
      <c r="J135" s="5"/>
      <c r="K135" s="5"/>
      <c r="L135" s="7"/>
      <c r="M135" s="7"/>
      <c r="N135" s="5"/>
      <c r="O135" s="8">
        <f>IF(B135="","",IF(AND(G135="Externe",J135&lt;&gt;"Oui"),"Annexer le rapport",IF(AND(K135="Oui",M135=""),"Suites à décider","Complet")))</f>
      </c>
    </row>
    <row r="136" spans="1:15" x14ac:dyDescent="0.25">
      <c r="A136" s="5">
        <v>132</v>
      </c>
      <c r="B136" s="6"/>
      <c r="C136" s="5"/>
      <c r="D136" s="5"/>
      <c r="E136" s="5"/>
      <c r="F136" s="5"/>
      <c r="G136" s="5"/>
      <c r="H136" s="5"/>
      <c r="I136" s="6"/>
      <c r="J136" s="5"/>
      <c r="K136" s="5"/>
      <c r="L136" s="7"/>
      <c r="M136" s="7"/>
      <c r="N136" s="5"/>
      <c r="O136" s="8">
        <f>IF(B136="","",IF(AND(G136="Externe",J136&lt;&gt;"Oui"),"Annexer le rapport",IF(AND(K136="Oui",M136=""),"Suites à décider","Complet")))</f>
      </c>
    </row>
    <row r="137" spans="1:15" x14ac:dyDescent="0.25">
      <c r="A137" s="5">
        <v>133</v>
      </c>
      <c r="B137" s="6"/>
      <c r="C137" s="5"/>
      <c r="D137" s="5"/>
      <c r="E137" s="5"/>
      <c r="F137" s="5"/>
      <c r="G137" s="5"/>
      <c r="H137" s="5"/>
      <c r="I137" s="6"/>
      <c r="J137" s="5"/>
      <c r="K137" s="5"/>
      <c r="L137" s="7"/>
      <c r="M137" s="7"/>
      <c r="N137" s="5"/>
      <c r="O137" s="8">
        <f>IF(B137="","",IF(AND(G137="Externe",J137&lt;&gt;"Oui"),"Annexer le rapport",IF(AND(K137="Oui",M137=""),"Suites à décider","Complet")))</f>
      </c>
    </row>
    <row r="138" spans="1:15" x14ac:dyDescent="0.25">
      <c r="A138" s="5">
        <v>134</v>
      </c>
      <c r="B138" s="6"/>
      <c r="C138" s="5"/>
      <c r="D138" s="5"/>
      <c r="E138" s="5"/>
      <c r="F138" s="5"/>
      <c r="G138" s="5"/>
      <c r="H138" s="5"/>
      <c r="I138" s="6"/>
      <c r="J138" s="5"/>
      <c r="K138" s="5"/>
      <c r="L138" s="7"/>
      <c r="M138" s="7"/>
      <c r="N138" s="5"/>
      <c r="O138" s="8">
        <f>IF(B138="","",IF(AND(G138="Externe",J138&lt;&gt;"Oui"),"Annexer le rapport",IF(AND(K138="Oui",M138=""),"Suites à décider","Complet")))</f>
      </c>
    </row>
    <row r="139" spans="1:15" x14ac:dyDescent="0.25">
      <c r="A139" s="5">
        <v>135</v>
      </c>
      <c r="B139" s="6"/>
      <c r="C139" s="5"/>
      <c r="D139" s="5"/>
      <c r="E139" s="5"/>
      <c r="F139" s="5"/>
      <c r="G139" s="5"/>
      <c r="H139" s="5"/>
      <c r="I139" s="6"/>
      <c r="J139" s="5"/>
      <c r="K139" s="5"/>
      <c r="L139" s="7"/>
      <c r="M139" s="7"/>
      <c r="N139" s="5"/>
      <c r="O139" s="8">
        <f>IF(B139="","",IF(AND(G139="Externe",J139&lt;&gt;"Oui"),"Annexer le rapport",IF(AND(K139="Oui",M139=""),"Suites à décider","Complet")))</f>
      </c>
    </row>
    <row r="140" spans="1:15" x14ac:dyDescent="0.25">
      <c r="A140" s="5">
        <v>136</v>
      </c>
      <c r="B140" s="6"/>
      <c r="C140" s="5"/>
      <c r="D140" s="5"/>
      <c r="E140" s="5"/>
      <c r="F140" s="5"/>
      <c r="G140" s="5"/>
      <c r="H140" s="5"/>
      <c r="I140" s="6"/>
      <c r="J140" s="5"/>
      <c r="K140" s="5"/>
      <c r="L140" s="7"/>
      <c r="M140" s="7"/>
      <c r="N140" s="5"/>
      <c r="O140" s="8">
        <f>IF(B140="","",IF(AND(G140="Externe",J140&lt;&gt;"Oui"),"Annexer le rapport",IF(AND(K140="Oui",M140=""),"Suites à décider","Complet")))</f>
      </c>
    </row>
    <row r="141" spans="1:15" x14ac:dyDescent="0.25">
      <c r="A141" s="5">
        <v>137</v>
      </c>
      <c r="B141" s="6"/>
      <c r="C141" s="5"/>
      <c r="D141" s="5"/>
      <c r="E141" s="5"/>
      <c r="F141" s="5"/>
      <c r="G141" s="5"/>
      <c r="H141" s="5"/>
      <c r="I141" s="6"/>
      <c r="J141" s="5"/>
      <c r="K141" s="5"/>
      <c r="L141" s="7"/>
      <c r="M141" s="7"/>
      <c r="N141" s="5"/>
      <c r="O141" s="8">
        <f>IF(B141="","",IF(AND(G141="Externe",J141&lt;&gt;"Oui"),"Annexer le rapport",IF(AND(K141="Oui",M141=""),"Suites à décider","Complet")))</f>
      </c>
    </row>
    <row r="142" spans="1:15" x14ac:dyDescent="0.25">
      <c r="A142" s="5">
        <v>138</v>
      </c>
      <c r="B142" s="6"/>
      <c r="C142" s="5"/>
      <c r="D142" s="5"/>
      <c r="E142" s="5"/>
      <c r="F142" s="5"/>
      <c r="G142" s="5"/>
      <c r="H142" s="5"/>
      <c r="I142" s="6"/>
      <c r="J142" s="5"/>
      <c r="K142" s="5"/>
      <c r="L142" s="7"/>
      <c r="M142" s="7"/>
      <c r="N142" s="5"/>
      <c r="O142" s="8">
        <f>IF(B142="","",IF(AND(G142="Externe",J142&lt;&gt;"Oui"),"Annexer le rapport",IF(AND(K142="Oui",M142=""),"Suites à décider","Complet")))</f>
      </c>
    </row>
    <row r="143" spans="1:15" x14ac:dyDescent="0.25">
      <c r="A143" s="5">
        <v>139</v>
      </c>
      <c r="B143" s="6"/>
      <c r="C143" s="5"/>
      <c r="D143" s="5"/>
      <c r="E143" s="5"/>
      <c r="F143" s="5"/>
      <c r="G143" s="5"/>
      <c r="H143" s="5"/>
      <c r="I143" s="6"/>
      <c r="J143" s="5"/>
      <c r="K143" s="5"/>
      <c r="L143" s="7"/>
      <c r="M143" s="7"/>
      <c r="N143" s="5"/>
      <c r="O143" s="8">
        <f>IF(B143="","",IF(AND(G143="Externe",J143&lt;&gt;"Oui"),"Annexer le rapport",IF(AND(K143="Oui",M143=""),"Suites à décider","Complet")))</f>
      </c>
    </row>
    <row r="144" spans="1:15" x14ac:dyDescent="0.25">
      <c r="A144" s="5">
        <v>140</v>
      </c>
      <c r="B144" s="6"/>
      <c r="C144" s="5"/>
      <c r="D144" s="5"/>
      <c r="E144" s="5"/>
      <c r="F144" s="5"/>
      <c r="G144" s="5"/>
      <c r="H144" s="5"/>
      <c r="I144" s="6"/>
      <c r="J144" s="5"/>
      <c r="K144" s="5"/>
      <c r="L144" s="7"/>
      <c r="M144" s="7"/>
      <c r="N144" s="5"/>
      <c r="O144" s="8">
        <f>IF(B144="","",IF(AND(G144="Externe",J144&lt;&gt;"Oui"),"Annexer le rapport",IF(AND(K144="Oui",M144=""),"Suites à décider","Complet")))</f>
      </c>
    </row>
    <row r="145" spans="1:15" x14ac:dyDescent="0.25">
      <c r="A145" s="5">
        <v>141</v>
      </c>
      <c r="B145" s="6"/>
      <c r="C145" s="5"/>
      <c r="D145" s="5"/>
      <c r="E145" s="5"/>
      <c r="F145" s="5"/>
      <c r="G145" s="5"/>
      <c r="H145" s="5"/>
      <c r="I145" s="6"/>
      <c r="J145" s="5"/>
      <c r="K145" s="5"/>
      <c r="L145" s="7"/>
      <c r="M145" s="7"/>
      <c r="N145" s="5"/>
      <c r="O145" s="8">
        <f>IF(B145="","",IF(AND(G145="Externe",J145&lt;&gt;"Oui"),"Annexer le rapport",IF(AND(K145="Oui",M145=""),"Suites à décider","Complet")))</f>
      </c>
    </row>
    <row r="146" spans="1:15" x14ac:dyDescent="0.25">
      <c r="A146" s="5">
        <v>142</v>
      </c>
      <c r="B146" s="6"/>
      <c r="C146" s="5"/>
      <c r="D146" s="5"/>
      <c r="E146" s="5"/>
      <c r="F146" s="5"/>
      <c r="G146" s="5"/>
      <c r="H146" s="5"/>
      <c r="I146" s="6"/>
      <c r="J146" s="5"/>
      <c r="K146" s="5"/>
      <c r="L146" s="7"/>
      <c r="M146" s="7"/>
      <c r="N146" s="5"/>
      <c r="O146" s="8">
        <f>IF(B146="","",IF(AND(G146="Externe",J146&lt;&gt;"Oui"),"Annexer le rapport",IF(AND(K146="Oui",M146=""),"Suites à décider","Complet")))</f>
      </c>
    </row>
    <row r="147" spans="1:15" x14ac:dyDescent="0.25">
      <c r="A147" s="5">
        <v>143</v>
      </c>
      <c r="B147" s="6"/>
      <c r="C147" s="5"/>
      <c r="D147" s="5"/>
      <c r="E147" s="5"/>
      <c r="F147" s="5"/>
      <c r="G147" s="5"/>
      <c r="H147" s="5"/>
      <c r="I147" s="6"/>
      <c r="J147" s="5"/>
      <c r="K147" s="5"/>
      <c r="L147" s="7"/>
      <c r="M147" s="7"/>
      <c r="N147" s="5"/>
      <c r="O147" s="8">
        <f>IF(B147="","",IF(AND(G147="Externe",J147&lt;&gt;"Oui"),"Annexer le rapport",IF(AND(K147="Oui",M147=""),"Suites à décider","Complet")))</f>
      </c>
    </row>
    <row r="148" spans="1:15" x14ac:dyDescent="0.25">
      <c r="A148" s="5">
        <v>144</v>
      </c>
      <c r="B148" s="6"/>
      <c r="C148" s="5"/>
      <c r="D148" s="5"/>
      <c r="E148" s="5"/>
      <c r="F148" s="5"/>
      <c r="G148" s="5"/>
      <c r="H148" s="5"/>
      <c r="I148" s="6"/>
      <c r="J148" s="5"/>
      <c r="K148" s="5"/>
      <c r="L148" s="7"/>
      <c r="M148" s="7"/>
      <c r="N148" s="5"/>
      <c r="O148" s="8">
        <f>IF(B148="","",IF(AND(G148="Externe",J148&lt;&gt;"Oui"),"Annexer le rapport",IF(AND(K148="Oui",M148=""),"Suites à décider","Complet")))</f>
      </c>
    </row>
    <row r="149" spans="1:15" x14ac:dyDescent="0.25">
      <c r="A149" s="5">
        <v>145</v>
      </c>
      <c r="B149" s="6"/>
      <c r="C149" s="5"/>
      <c r="D149" s="5"/>
      <c r="E149" s="5"/>
      <c r="F149" s="5"/>
      <c r="G149" s="5"/>
      <c r="H149" s="5"/>
      <c r="I149" s="6"/>
      <c r="J149" s="5"/>
      <c r="K149" s="5"/>
      <c r="L149" s="7"/>
      <c r="M149" s="7"/>
      <c r="N149" s="5"/>
      <c r="O149" s="8">
        <f>IF(B149="","",IF(AND(G149="Externe",J149&lt;&gt;"Oui"),"Annexer le rapport",IF(AND(K149="Oui",M149=""),"Suites à décider","Complet")))</f>
      </c>
    </row>
    <row r="150" spans="1:15" x14ac:dyDescent="0.25">
      <c r="A150" s="5">
        <v>146</v>
      </c>
      <c r="B150" s="6"/>
      <c r="C150" s="5"/>
      <c r="D150" s="5"/>
      <c r="E150" s="5"/>
      <c r="F150" s="5"/>
      <c r="G150" s="5"/>
      <c r="H150" s="5"/>
      <c r="I150" s="6"/>
      <c r="J150" s="5"/>
      <c r="K150" s="5"/>
      <c r="L150" s="7"/>
      <c r="M150" s="7"/>
      <c r="N150" s="5"/>
      <c r="O150" s="8">
        <f>IF(B150="","",IF(AND(G150="Externe",J150&lt;&gt;"Oui"),"Annexer le rapport",IF(AND(K150="Oui",M150=""),"Suites à décider","Complet")))</f>
      </c>
    </row>
    <row r="151" spans="1:15" x14ac:dyDescent="0.25">
      <c r="A151" s="5">
        <v>147</v>
      </c>
      <c r="B151" s="6"/>
      <c r="C151" s="5"/>
      <c r="D151" s="5"/>
      <c r="E151" s="5"/>
      <c r="F151" s="5"/>
      <c r="G151" s="5"/>
      <c r="H151" s="5"/>
      <c r="I151" s="6"/>
      <c r="J151" s="5"/>
      <c r="K151" s="5"/>
      <c r="L151" s="7"/>
      <c r="M151" s="7"/>
      <c r="N151" s="5"/>
      <c r="O151" s="8">
        <f>IF(B151="","",IF(AND(G151="Externe",J151&lt;&gt;"Oui"),"Annexer le rapport",IF(AND(K151="Oui",M151=""),"Suites à décider","Complet")))</f>
      </c>
    </row>
    <row r="152" spans="1:15" x14ac:dyDescent="0.25">
      <c r="A152" s="5">
        <v>148</v>
      </c>
      <c r="B152" s="6"/>
      <c r="C152" s="5"/>
      <c r="D152" s="5"/>
      <c r="E152" s="5"/>
      <c r="F152" s="5"/>
      <c r="G152" s="5"/>
      <c r="H152" s="5"/>
      <c r="I152" s="6"/>
      <c r="J152" s="5"/>
      <c r="K152" s="5"/>
      <c r="L152" s="7"/>
      <c r="M152" s="7"/>
      <c r="N152" s="5"/>
      <c r="O152" s="8">
        <f>IF(B152="","",IF(AND(G152="Externe",J152&lt;&gt;"Oui"),"Annexer le rapport",IF(AND(K152="Oui",M152=""),"Suites à décider","Complet")))</f>
      </c>
    </row>
    <row r="153" spans="1:15" x14ac:dyDescent="0.25">
      <c r="A153" s="5">
        <v>149</v>
      </c>
      <c r="B153" s="6"/>
      <c r="C153" s="5"/>
      <c r="D153" s="5"/>
      <c r="E153" s="5"/>
      <c r="F153" s="5"/>
      <c r="G153" s="5"/>
      <c r="H153" s="5"/>
      <c r="I153" s="6"/>
      <c r="J153" s="5"/>
      <c r="K153" s="5"/>
      <c r="L153" s="7"/>
      <c r="M153" s="7"/>
      <c r="N153" s="5"/>
      <c r="O153" s="8">
        <f>IF(B153="","",IF(AND(G153="Externe",J153&lt;&gt;"Oui"),"Annexer le rapport",IF(AND(K153="Oui",M153=""),"Suites à décider","Complet")))</f>
      </c>
    </row>
    <row r="154" spans="1:15" x14ac:dyDescent="0.25">
      <c r="A154" s="5">
        <v>150</v>
      </c>
      <c r="B154" s="6"/>
      <c r="C154" s="5"/>
      <c r="D154" s="5"/>
      <c r="E154" s="5"/>
      <c r="F154" s="5"/>
      <c r="G154" s="5"/>
      <c r="H154" s="5"/>
      <c r="I154" s="6"/>
      <c r="J154" s="5"/>
      <c r="K154" s="5"/>
      <c r="L154" s="7"/>
      <c r="M154" s="7"/>
      <c r="N154" s="5"/>
      <c r="O154" s="8">
        <f>IF(B154="","",IF(AND(G154="Externe",J154&lt;&gt;"Oui"),"Annexer le rapport",IF(AND(K154="Oui",M154=""),"Suites à décider","Complet")))</f>
      </c>
    </row>
    <row r="155" spans="1:15" x14ac:dyDescent="0.25">
      <c r="A155" s="5">
        <v>151</v>
      </c>
      <c r="B155" s="6"/>
      <c r="C155" s="5"/>
      <c r="D155" s="5"/>
      <c r="E155" s="5"/>
      <c r="F155" s="5"/>
      <c r="G155" s="5"/>
      <c r="H155" s="5"/>
      <c r="I155" s="6"/>
      <c r="J155" s="5"/>
      <c r="K155" s="5"/>
      <c r="L155" s="7"/>
      <c r="M155" s="7"/>
      <c r="N155" s="5"/>
      <c r="O155" s="8">
        <f>IF(B155="","",IF(AND(G155="Externe",J155&lt;&gt;"Oui"),"Annexer le rapport",IF(AND(K155="Oui",M155=""),"Suites à décider","Complet")))</f>
      </c>
    </row>
    <row r="156" spans="1:15" x14ac:dyDescent="0.25">
      <c r="A156" s="5">
        <v>152</v>
      </c>
      <c r="B156" s="6"/>
      <c r="C156" s="5"/>
      <c r="D156" s="5"/>
      <c r="E156" s="5"/>
      <c r="F156" s="5"/>
      <c r="G156" s="5"/>
      <c r="H156" s="5"/>
      <c r="I156" s="6"/>
      <c r="J156" s="5"/>
      <c r="K156" s="5"/>
      <c r="L156" s="7"/>
      <c r="M156" s="7"/>
      <c r="N156" s="5"/>
      <c r="O156" s="8">
        <f>IF(B156="","",IF(AND(G156="Externe",J156&lt;&gt;"Oui"),"Annexer le rapport",IF(AND(K156="Oui",M156=""),"Suites à décider","Complet")))</f>
      </c>
    </row>
    <row r="157" spans="1:15" x14ac:dyDescent="0.25">
      <c r="A157" s="5">
        <v>153</v>
      </c>
      <c r="B157" s="6"/>
      <c r="C157" s="5"/>
      <c r="D157" s="5"/>
      <c r="E157" s="5"/>
      <c r="F157" s="5"/>
      <c r="G157" s="5"/>
      <c r="H157" s="5"/>
      <c r="I157" s="6"/>
      <c r="J157" s="5"/>
      <c r="K157" s="5"/>
      <c r="L157" s="7"/>
      <c r="M157" s="7"/>
      <c r="N157" s="5"/>
      <c r="O157" s="8">
        <f>IF(B157="","",IF(AND(G157="Externe",J157&lt;&gt;"Oui"),"Annexer le rapport",IF(AND(K157="Oui",M157=""),"Suites à décider","Complet")))</f>
      </c>
    </row>
    <row r="158" spans="1:15" x14ac:dyDescent="0.25">
      <c r="A158" s="5">
        <v>154</v>
      </c>
      <c r="B158" s="6"/>
      <c r="C158" s="5"/>
      <c r="D158" s="5"/>
      <c r="E158" s="5"/>
      <c r="F158" s="5"/>
      <c r="G158" s="5"/>
      <c r="H158" s="5"/>
      <c r="I158" s="6"/>
      <c r="J158" s="5"/>
      <c r="K158" s="5"/>
      <c r="L158" s="7"/>
      <c r="M158" s="7"/>
      <c r="N158" s="5"/>
      <c r="O158" s="8">
        <f>IF(B158="","",IF(AND(G158="Externe",J158&lt;&gt;"Oui"),"Annexer le rapport",IF(AND(K158="Oui",M158=""),"Suites à décider","Complet")))</f>
      </c>
    </row>
    <row r="159" spans="1:15" x14ac:dyDescent="0.25">
      <c r="A159" s="5">
        <v>155</v>
      </c>
      <c r="B159" s="6"/>
      <c r="C159" s="5"/>
      <c r="D159" s="5"/>
      <c r="E159" s="5"/>
      <c r="F159" s="5"/>
      <c r="G159" s="5"/>
      <c r="H159" s="5"/>
      <c r="I159" s="6"/>
      <c r="J159" s="5"/>
      <c r="K159" s="5"/>
      <c r="L159" s="7"/>
      <c r="M159" s="7"/>
      <c r="N159" s="5"/>
      <c r="O159" s="8">
        <f>IF(B159="","",IF(AND(G159="Externe",J159&lt;&gt;"Oui"),"Annexer le rapport",IF(AND(K159="Oui",M159=""),"Suites à décider","Complet")))</f>
      </c>
    </row>
    <row r="160" spans="1:15" x14ac:dyDescent="0.25">
      <c r="A160" s="5">
        <v>156</v>
      </c>
      <c r="B160" s="6"/>
      <c r="C160" s="5"/>
      <c r="D160" s="5"/>
      <c r="E160" s="5"/>
      <c r="F160" s="5"/>
      <c r="G160" s="5"/>
      <c r="H160" s="5"/>
      <c r="I160" s="6"/>
      <c r="J160" s="5"/>
      <c r="K160" s="5"/>
      <c r="L160" s="7"/>
      <c r="M160" s="7"/>
      <c r="N160" s="5"/>
      <c r="O160" s="8">
        <f>IF(B160="","",IF(AND(G160="Externe",J160&lt;&gt;"Oui"),"Annexer le rapport",IF(AND(K160="Oui",M160=""),"Suites à décider","Complet")))</f>
      </c>
    </row>
    <row r="161" spans="1:15" x14ac:dyDescent="0.25">
      <c r="A161" s="5">
        <v>157</v>
      </c>
      <c r="B161" s="6"/>
      <c r="C161" s="5"/>
      <c r="D161" s="5"/>
      <c r="E161" s="5"/>
      <c r="F161" s="5"/>
      <c r="G161" s="5"/>
      <c r="H161" s="5"/>
      <c r="I161" s="6"/>
      <c r="J161" s="5"/>
      <c r="K161" s="5"/>
      <c r="L161" s="7"/>
      <c r="M161" s="7"/>
      <c r="N161" s="5"/>
      <c r="O161" s="8">
        <f>IF(B161="","",IF(AND(G161="Externe",J161&lt;&gt;"Oui"),"Annexer le rapport",IF(AND(K161="Oui",M161=""),"Suites à décider","Complet")))</f>
      </c>
    </row>
    <row r="162" spans="1:15" x14ac:dyDescent="0.25">
      <c r="A162" s="5">
        <v>158</v>
      </c>
      <c r="B162" s="6"/>
      <c r="C162" s="5"/>
      <c r="D162" s="5"/>
      <c r="E162" s="5"/>
      <c r="F162" s="5"/>
      <c r="G162" s="5"/>
      <c r="H162" s="5"/>
      <c r="I162" s="6"/>
      <c r="J162" s="5"/>
      <c r="K162" s="5"/>
      <c r="L162" s="7"/>
      <c r="M162" s="7"/>
      <c r="N162" s="5"/>
      <c r="O162" s="8">
        <f>IF(B162="","",IF(AND(G162="Externe",J162&lt;&gt;"Oui"),"Annexer le rapport",IF(AND(K162="Oui",M162=""),"Suites à décider","Complet")))</f>
      </c>
    </row>
    <row r="163" spans="1:15" x14ac:dyDescent="0.25">
      <c r="A163" s="5">
        <v>159</v>
      </c>
      <c r="B163" s="6"/>
      <c r="C163" s="5"/>
      <c r="D163" s="5"/>
      <c r="E163" s="5"/>
      <c r="F163" s="5"/>
      <c r="G163" s="5"/>
      <c r="H163" s="5"/>
      <c r="I163" s="6"/>
      <c r="J163" s="5"/>
      <c r="K163" s="5"/>
      <c r="L163" s="7"/>
      <c r="M163" s="7"/>
      <c r="N163" s="5"/>
      <c r="O163" s="8">
        <f>IF(B163="","",IF(AND(G163="Externe",J163&lt;&gt;"Oui"),"Annexer le rapport",IF(AND(K163="Oui",M163=""),"Suites à décider","Complet")))</f>
      </c>
    </row>
    <row r="164" spans="1:15" x14ac:dyDescent="0.25">
      <c r="A164" s="5">
        <v>160</v>
      </c>
      <c r="B164" s="6"/>
      <c r="C164" s="5"/>
      <c r="D164" s="5"/>
      <c r="E164" s="5"/>
      <c r="F164" s="5"/>
      <c r="G164" s="5"/>
      <c r="H164" s="5"/>
      <c r="I164" s="6"/>
      <c r="J164" s="5"/>
      <c r="K164" s="5"/>
      <c r="L164" s="7"/>
      <c r="M164" s="7"/>
      <c r="N164" s="5"/>
      <c r="O164" s="8">
        <f>IF(B164="","",IF(AND(G164="Externe",J164&lt;&gt;"Oui"),"Annexer le rapport",IF(AND(K164="Oui",M164=""),"Suites à décider","Complet")))</f>
      </c>
    </row>
    <row r="165" spans="1:15" x14ac:dyDescent="0.25">
      <c r="A165" s="5">
        <v>161</v>
      </c>
      <c r="B165" s="6"/>
      <c r="C165" s="5"/>
      <c r="D165" s="5"/>
      <c r="E165" s="5"/>
      <c r="F165" s="5"/>
      <c r="G165" s="5"/>
      <c r="H165" s="5"/>
      <c r="I165" s="6"/>
      <c r="J165" s="5"/>
      <c r="K165" s="5"/>
      <c r="L165" s="7"/>
      <c r="M165" s="7"/>
      <c r="N165" s="5"/>
      <c r="O165" s="8">
        <f>IF(B165="","",IF(AND(G165="Externe",J165&lt;&gt;"Oui"),"Annexer le rapport",IF(AND(K165="Oui",M165=""),"Suites à décider","Complet")))</f>
      </c>
    </row>
    <row r="166" spans="1:15" x14ac:dyDescent="0.25">
      <c r="A166" s="5">
        <v>162</v>
      </c>
      <c r="B166" s="6"/>
      <c r="C166" s="5"/>
      <c r="D166" s="5"/>
      <c r="E166" s="5"/>
      <c r="F166" s="5"/>
      <c r="G166" s="5"/>
      <c r="H166" s="5"/>
      <c r="I166" s="6"/>
      <c r="J166" s="5"/>
      <c r="K166" s="5"/>
      <c r="L166" s="7"/>
      <c r="M166" s="7"/>
      <c r="N166" s="5"/>
      <c r="O166" s="8">
        <f>IF(B166="","",IF(AND(G166="Externe",J166&lt;&gt;"Oui"),"Annexer le rapport",IF(AND(K166="Oui",M166=""),"Suites à décider","Complet")))</f>
      </c>
    </row>
    <row r="167" spans="1:15" x14ac:dyDescent="0.25">
      <c r="A167" s="5">
        <v>163</v>
      </c>
      <c r="B167" s="6"/>
      <c r="C167" s="5"/>
      <c r="D167" s="5"/>
      <c r="E167" s="5"/>
      <c r="F167" s="5"/>
      <c r="G167" s="5"/>
      <c r="H167" s="5"/>
      <c r="I167" s="6"/>
      <c r="J167" s="5"/>
      <c r="K167" s="5"/>
      <c r="L167" s="7"/>
      <c r="M167" s="7"/>
      <c r="N167" s="5"/>
      <c r="O167" s="8">
        <f>IF(B167="","",IF(AND(G167="Externe",J167&lt;&gt;"Oui"),"Annexer le rapport",IF(AND(K167="Oui",M167=""),"Suites à décider","Complet")))</f>
      </c>
    </row>
    <row r="168" spans="1:15" x14ac:dyDescent="0.25">
      <c r="A168" s="5">
        <v>164</v>
      </c>
      <c r="B168" s="6"/>
      <c r="C168" s="5"/>
      <c r="D168" s="5"/>
      <c r="E168" s="5"/>
      <c r="F168" s="5"/>
      <c r="G168" s="5"/>
      <c r="H168" s="5"/>
      <c r="I168" s="6"/>
      <c r="J168" s="5"/>
      <c r="K168" s="5"/>
      <c r="L168" s="7"/>
      <c r="M168" s="7"/>
      <c r="N168" s="5"/>
      <c r="O168" s="8">
        <f>IF(B168="","",IF(AND(G168="Externe",J168&lt;&gt;"Oui"),"Annexer le rapport",IF(AND(K168="Oui",M168=""),"Suites à décider","Complet")))</f>
      </c>
    </row>
    <row r="169" spans="1:15" x14ac:dyDescent="0.25">
      <c r="A169" s="5">
        <v>165</v>
      </c>
      <c r="B169" s="6"/>
      <c r="C169" s="5"/>
      <c r="D169" s="5"/>
      <c r="E169" s="5"/>
      <c r="F169" s="5"/>
      <c r="G169" s="5"/>
      <c r="H169" s="5"/>
      <c r="I169" s="6"/>
      <c r="J169" s="5"/>
      <c r="K169" s="5"/>
      <c r="L169" s="7"/>
      <c r="M169" s="7"/>
      <c r="N169" s="5"/>
      <c r="O169" s="8">
        <f>IF(B169="","",IF(AND(G169="Externe",J169&lt;&gt;"Oui"),"Annexer le rapport",IF(AND(K169="Oui",M169=""),"Suites à décider","Complet")))</f>
      </c>
    </row>
    <row r="170" spans="1:15" x14ac:dyDescent="0.25">
      <c r="A170" s="5">
        <v>166</v>
      </c>
      <c r="B170" s="6"/>
      <c r="C170" s="5"/>
      <c r="D170" s="5"/>
      <c r="E170" s="5"/>
      <c r="F170" s="5"/>
      <c r="G170" s="5"/>
      <c r="H170" s="5"/>
      <c r="I170" s="6"/>
      <c r="J170" s="5"/>
      <c r="K170" s="5"/>
      <c r="L170" s="7"/>
      <c r="M170" s="7"/>
      <c r="N170" s="5"/>
      <c r="O170" s="8">
        <f>IF(B170="","",IF(AND(G170="Externe",J170&lt;&gt;"Oui"),"Annexer le rapport",IF(AND(K170="Oui",M170=""),"Suites à décider","Complet")))</f>
      </c>
    </row>
    <row r="171" spans="1:15" x14ac:dyDescent="0.25">
      <c r="A171" s="5">
        <v>167</v>
      </c>
      <c r="B171" s="6"/>
      <c r="C171" s="5"/>
      <c r="D171" s="5"/>
      <c r="E171" s="5"/>
      <c r="F171" s="5"/>
      <c r="G171" s="5"/>
      <c r="H171" s="5"/>
      <c r="I171" s="6"/>
      <c r="J171" s="5"/>
      <c r="K171" s="5"/>
      <c r="L171" s="7"/>
      <c r="M171" s="7"/>
      <c r="N171" s="5"/>
      <c r="O171" s="8">
        <f>IF(B171="","",IF(AND(G171="Externe",J171&lt;&gt;"Oui"),"Annexer le rapport",IF(AND(K171="Oui",M171=""),"Suites à décider","Complet")))</f>
      </c>
    </row>
    <row r="172" spans="1:15" x14ac:dyDescent="0.25">
      <c r="A172" s="5">
        <v>168</v>
      </c>
      <c r="B172" s="6"/>
      <c r="C172" s="5"/>
      <c r="D172" s="5"/>
      <c r="E172" s="5"/>
      <c r="F172" s="5"/>
      <c r="G172" s="5"/>
      <c r="H172" s="5"/>
      <c r="I172" s="6"/>
      <c r="J172" s="5"/>
      <c r="K172" s="5"/>
      <c r="L172" s="7"/>
      <c r="M172" s="7"/>
      <c r="N172" s="5"/>
      <c r="O172" s="8">
        <f>IF(B172="","",IF(AND(G172="Externe",J172&lt;&gt;"Oui"),"Annexer le rapport",IF(AND(K172="Oui",M172=""),"Suites à décider","Complet")))</f>
      </c>
    </row>
    <row r="173" spans="1:15" x14ac:dyDescent="0.25">
      <c r="A173" s="5">
        <v>169</v>
      </c>
      <c r="B173" s="6"/>
      <c r="C173" s="5"/>
      <c r="D173" s="5"/>
      <c r="E173" s="5"/>
      <c r="F173" s="5"/>
      <c r="G173" s="5"/>
      <c r="H173" s="5"/>
      <c r="I173" s="6"/>
      <c r="J173" s="5"/>
      <c r="K173" s="5"/>
      <c r="L173" s="7"/>
      <c r="M173" s="7"/>
      <c r="N173" s="5"/>
      <c r="O173" s="8">
        <f>IF(B173="","",IF(AND(G173="Externe",J173&lt;&gt;"Oui"),"Annexer le rapport",IF(AND(K173="Oui",M173=""),"Suites à décider","Complet")))</f>
      </c>
    </row>
    <row r="174" spans="1:15" x14ac:dyDescent="0.25">
      <c r="A174" s="5">
        <v>170</v>
      </c>
      <c r="B174" s="6"/>
      <c r="C174" s="5"/>
      <c r="D174" s="5"/>
      <c r="E174" s="5"/>
      <c r="F174" s="5"/>
      <c r="G174" s="5"/>
      <c r="H174" s="5"/>
      <c r="I174" s="6"/>
      <c r="J174" s="5"/>
      <c r="K174" s="5"/>
      <c r="L174" s="7"/>
      <c r="M174" s="7"/>
      <c r="N174" s="5"/>
      <c r="O174" s="8">
        <f>IF(B174="","",IF(AND(G174="Externe",J174&lt;&gt;"Oui"),"Annexer le rapport",IF(AND(K174="Oui",M174=""),"Suites à décider","Complet")))</f>
      </c>
    </row>
    <row r="175" spans="1:15" x14ac:dyDescent="0.25">
      <c r="A175" s="5">
        <v>171</v>
      </c>
      <c r="B175" s="6"/>
      <c r="C175" s="5"/>
      <c r="D175" s="5"/>
      <c r="E175" s="5"/>
      <c r="F175" s="5"/>
      <c r="G175" s="5"/>
      <c r="H175" s="5"/>
      <c r="I175" s="6"/>
      <c r="J175" s="5"/>
      <c r="K175" s="5"/>
      <c r="L175" s="7"/>
      <c r="M175" s="7"/>
      <c r="N175" s="5"/>
      <c r="O175" s="8">
        <f>IF(B175="","",IF(AND(G175="Externe",J175&lt;&gt;"Oui"),"Annexer le rapport",IF(AND(K175="Oui",M175=""),"Suites à décider","Complet")))</f>
      </c>
    </row>
    <row r="176" spans="1:15" x14ac:dyDescent="0.25">
      <c r="A176" s="5">
        <v>172</v>
      </c>
      <c r="B176" s="6"/>
      <c r="C176" s="5"/>
      <c r="D176" s="5"/>
      <c r="E176" s="5"/>
      <c r="F176" s="5"/>
      <c r="G176" s="5"/>
      <c r="H176" s="5"/>
      <c r="I176" s="6"/>
      <c r="J176" s="5"/>
      <c r="K176" s="5"/>
      <c r="L176" s="7"/>
      <c r="M176" s="7"/>
      <c r="N176" s="5"/>
      <c r="O176" s="8">
        <f>IF(B176="","",IF(AND(G176="Externe",J176&lt;&gt;"Oui"),"Annexer le rapport",IF(AND(K176="Oui",M176=""),"Suites à décider","Complet")))</f>
      </c>
    </row>
    <row r="177" spans="1:15" x14ac:dyDescent="0.25">
      <c r="A177" s="5">
        <v>173</v>
      </c>
      <c r="B177" s="6"/>
      <c r="C177" s="5"/>
      <c r="D177" s="5"/>
      <c r="E177" s="5"/>
      <c r="F177" s="5"/>
      <c r="G177" s="5"/>
      <c r="H177" s="5"/>
      <c r="I177" s="6"/>
      <c r="J177" s="5"/>
      <c r="K177" s="5"/>
      <c r="L177" s="7"/>
      <c r="M177" s="7"/>
      <c r="N177" s="5"/>
      <c r="O177" s="8">
        <f>IF(B177="","",IF(AND(G177="Externe",J177&lt;&gt;"Oui"),"Annexer le rapport",IF(AND(K177="Oui",M177=""),"Suites à décider","Complet")))</f>
      </c>
    </row>
    <row r="178" spans="1:15" x14ac:dyDescent="0.25">
      <c r="A178" s="5">
        <v>174</v>
      </c>
      <c r="B178" s="6"/>
      <c r="C178" s="5"/>
      <c r="D178" s="5"/>
      <c r="E178" s="5"/>
      <c r="F178" s="5"/>
      <c r="G178" s="5"/>
      <c r="H178" s="5"/>
      <c r="I178" s="6"/>
      <c r="J178" s="5"/>
      <c r="K178" s="5"/>
      <c r="L178" s="7"/>
      <c r="M178" s="7"/>
      <c r="N178" s="5"/>
      <c r="O178" s="8">
        <f>IF(B178="","",IF(AND(G178="Externe",J178&lt;&gt;"Oui"),"Annexer le rapport",IF(AND(K178="Oui",M178=""),"Suites à décider","Complet")))</f>
      </c>
    </row>
    <row r="179" spans="1:15" x14ac:dyDescent="0.25">
      <c r="A179" s="5">
        <v>175</v>
      </c>
      <c r="B179" s="6"/>
      <c r="C179" s="5"/>
      <c r="D179" s="5"/>
      <c r="E179" s="5"/>
      <c r="F179" s="5"/>
      <c r="G179" s="5"/>
      <c r="H179" s="5"/>
      <c r="I179" s="6"/>
      <c r="J179" s="5"/>
      <c r="K179" s="5"/>
      <c r="L179" s="7"/>
      <c r="M179" s="7"/>
      <c r="N179" s="5"/>
      <c r="O179" s="8">
        <f>IF(B179="","",IF(AND(G179="Externe",J179&lt;&gt;"Oui"),"Annexer le rapport",IF(AND(K179="Oui",M179=""),"Suites à décider","Complet")))</f>
      </c>
    </row>
    <row r="180" spans="1:15" x14ac:dyDescent="0.25">
      <c r="A180" s="5">
        <v>176</v>
      </c>
      <c r="B180" s="6"/>
      <c r="C180" s="5"/>
      <c r="D180" s="5"/>
      <c r="E180" s="5"/>
      <c r="F180" s="5"/>
      <c r="G180" s="5"/>
      <c r="H180" s="5"/>
      <c r="I180" s="6"/>
      <c r="J180" s="5"/>
      <c r="K180" s="5"/>
      <c r="L180" s="7"/>
      <c r="M180" s="7"/>
      <c r="N180" s="5"/>
      <c r="O180" s="8">
        <f>IF(B180="","",IF(AND(G180="Externe",J180&lt;&gt;"Oui"),"Annexer le rapport",IF(AND(K180="Oui",M180=""),"Suites à décider","Complet")))</f>
      </c>
    </row>
    <row r="181" spans="1:15" x14ac:dyDescent="0.25">
      <c r="A181" s="5">
        <v>177</v>
      </c>
      <c r="B181" s="6"/>
      <c r="C181" s="5"/>
      <c r="D181" s="5"/>
      <c r="E181" s="5"/>
      <c r="F181" s="5"/>
      <c r="G181" s="5"/>
      <c r="H181" s="5"/>
      <c r="I181" s="6"/>
      <c r="J181" s="5"/>
      <c r="K181" s="5"/>
      <c r="L181" s="7"/>
      <c r="M181" s="7"/>
      <c r="N181" s="5"/>
      <c r="O181" s="8">
        <f>IF(B181="","",IF(AND(G181="Externe",J181&lt;&gt;"Oui"),"Annexer le rapport",IF(AND(K181="Oui",M181=""),"Suites à décider","Complet")))</f>
      </c>
    </row>
    <row r="182" spans="1:15" x14ac:dyDescent="0.25">
      <c r="A182" s="5">
        <v>178</v>
      </c>
      <c r="B182" s="6"/>
      <c r="C182" s="5"/>
      <c r="D182" s="5"/>
      <c r="E182" s="5"/>
      <c r="F182" s="5"/>
      <c r="G182" s="5"/>
      <c r="H182" s="5"/>
      <c r="I182" s="6"/>
      <c r="J182" s="5"/>
      <c r="K182" s="5"/>
      <c r="L182" s="7"/>
      <c r="M182" s="7"/>
      <c r="N182" s="5"/>
      <c r="O182" s="8">
        <f>IF(B182="","",IF(AND(G182="Externe",J182&lt;&gt;"Oui"),"Annexer le rapport",IF(AND(K182="Oui",M182=""),"Suites à décider","Complet")))</f>
      </c>
    </row>
    <row r="183" spans="1:15" x14ac:dyDescent="0.25">
      <c r="A183" s="5">
        <v>179</v>
      </c>
      <c r="B183" s="6"/>
      <c r="C183" s="5"/>
      <c r="D183" s="5"/>
      <c r="E183" s="5"/>
      <c r="F183" s="5"/>
      <c r="G183" s="5"/>
      <c r="H183" s="5"/>
      <c r="I183" s="6"/>
      <c r="J183" s="5"/>
      <c r="K183" s="5"/>
      <c r="L183" s="7"/>
      <c r="M183" s="7"/>
      <c r="N183" s="5"/>
      <c r="O183" s="8">
        <f>IF(B183="","",IF(AND(G183="Externe",J183&lt;&gt;"Oui"),"Annexer le rapport",IF(AND(K183="Oui",M183=""),"Suites à décider","Complet")))</f>
      </c>
    </row>
    <row r="184" spans="1:15" x14ac:dyDescent="0.25">
      <c r="A184" s="5">
        <v>180</v>
      </c>
      <c r="B184" s="6"/>
      <c r="C184" s="5"/>
      <c r="D184" s="5"/>
      <c r="E184" s="5"/>
      <c r="F184" s="5"/>
      <c r="G184" s="5"/>
      <c r="H184" s="5"/>
      <c r="I184" s="6"/>
      <c r="J184" s="5"/>
      <c r="K184" s="5"/>
      <c r="L184" s="7"/>
      <c r="M184" s="7"/>
      <c r="N184" s="5"/>
      <c r="O184" s="8">
        <f>IF(B184="","",IF(AND(G184="Externe",J184&lt;&gt;"Oui"),"Annexer le rapport",IF(AND(K184="Oui",M184=""),"Suites à décider","Complet")))</f>
      </c>
    </row>
    <row r="185" spans="1:15" x14ac:dyDescent="0.25">
      <c r="A185" s="5">
        <v>181</v>
      </c>
      <c r="B185" s="6"/>
      <c r="C185" s="5"/>
      <c r="D185" s="5"/>
      <c r="E185" s="5"/>
      <c r="F185" s="5"/>
      <c r="G185" s="5"/>
      <c r="H185" s="5"/>
      <c r="I185" s="6"/>
      <c r="J185" s="5"/>
      <c r="K185" s="5"/>
      <c r="L185" s="7"/>
      <c r="M185" s="7"/>
      <c r="N185" s="5"/>
      <c r="O185" s="8">
        <f>IF(B185="","",IF(AND(G185="Externe",J185&lt;&gt;"Oui"),"Annexer le rapport",IF(AND(K185="Oui",M185=""),"Suites à décider","Complet")))</f>
      </c>
    </row>
    <row r="186" spans="1:15" x14ac:dyDescent="0.25">
      <c r="A186" s="5">
        <v>182</v>
      </c>
      <c r="B186" s="6"/>
      <c r="C186" s="5"/>
      <c r="D186" s="5"/>
      <c r="E186" s="5"/>
      <c r="F186" s="5"/>
      <c r="G186" s="5"/>
      <c r="H186" s="5"/>
      <c r="I186" s="6"/>
      <c r="J186" s="5"/>
      <c r="K186" s="5"/>
      <c r="L186" s="7"/>
      <c r="M186" s="7"/>
      <c r="N186" s="5"/>
      <c r="O186" s="8">
        <f>IF(B186="","",IF(AND(G186="Externe",J186&lt;&gt;"Oui"),"Annexer le rapport",IF(AND(K186="Oui",M186=""),"Suites à décider","Complet")))</f>
      </c>
    </row>
    <row r="187" spans="1:15" x14ac:dyDescent="0.25">
      <c r="A187" s="5">
        <v>183</v>
      </c>
      <c r="B187" s="6"/>
      <c r="C187" s="5"/>
      <c r="D187" s="5"/>
      <c r="E187" s="5"/>
      <c r="F187" s="5"/>
      <c r="G187" s="5"/>
      <c r="H187" s="5"/>
      <c r="I187" s="6"/>
      <c r="J187" s="5"/>
      <c r="K187" s="5"/>
      <c r="L187" s="7"/>
      <c r="M187" s="7"/>
      <c r="N187" s="5"/>
      <c r="O187" s="8">
        <f>IF(B187="","",IF(AND(G187="Externe",J187&lt;&gt;"Oui"),"Annexer le rapport",IF(AND(K187="Oui",M187=""),"Suites à décider","Complet")))</f>
      </c>
    </row>
    <row r="188" spans="1:15" x14ac:dyDescent="0.25">
      <c r="A188" s="5">
        <v>184</v>
      </c>
      <c r="B188" s="6"/>
      <c r="C188" s="5"/>
      <c r="D188" s="5"/>
      <c r="E188" s="5"/>
      <c r="F188" s="5"/>
      <c r="G188" s="5"/>
      <c r="H188" s="5"/>
      <c r="I188" s="6"/>
      <c r="J188" s="5"/>
      <c r="K188" s="5"/>
      <c r="L188" s="7"/>
      <c r="M188" s="7"/>
      <c r="N188" s="5"/>
      <c r="O188" s="8">
        <f>IF(B188="","",IF(AND(G188="Externe",J188&lt;&gt;"Oui"),"Annexer le rapport",IF(AND(K188="Oui",M188=""),"Suites à décider","Complet")))</f>
      </c>
    </row>
    <row r="189" spans="1:15" x14ac:dyDescent="0.25">
      <c r="A189" s="5">
        <v>185</v>
      </c>
      <c r="B189" s="6"/>
      <c r="C189" s="5"/>
      <c r="D189" s="5"/>
      <c r="E189" s="5"/>
      <c r="F189" s="5"/>
      <c r="G189" s="5"/>
      <c r="H189" s="5"/>
      <c r="I189" s="6"/>
      <c r="J189" s="5"/>
      <c r="K189" s="5"/>
      <c r="L189" s="7"/>
      <c r="M189" s="7"/>
      <c r="N189" s="5"/>
      <c r="O189" s="8">
        <f>IF(B189="","",IF(AND(G189="Externe",J189&lt;&gt;"Oui"),"Annexer le rapport",IF(AND(K189="Oui",M189=""),"Suites à décider","Complet")))</f>
      </c>
    </row>
    <row r="190" spans="1:15" x14ac:dyDescent="0.25">
      <c r="A190" s="5">
        <v>186</v>
      </c>
      <c r="B190" s="6"/>
      <c r="C190" s="5"/>
      <c r="D190" s="5"/>
      <c r="E190" s="5"/>
      <c r="F190" s="5"/>
      <c r="G190" s="5"/>
      <c r="H190" s="5"/>
      <c r="I190" s="6"/>
      <c r="J190" s="5"/>
      <c r="K190" s="5"/>
      <c r="L190" s="7"/>
      <c r="M190" s="7"/>
      <c r="N190" s="5"/>
      <c r="O190" s="8">
        <f>IF(B190="","",IF(AND(G190="Externe",J190&lt;&gt;"Oui"),"Annexer le rapport",IF(AND(K190="Oui",M190=""),"Suites à décider","Complet")))</f>
      </c>
    </row>
    <row r="191" spans="1:15" x14ac:dyDescent="0.25">
      <c r="A191" s="5">
        <v>187</v>
      </c>
      <c r="B191" s="6"/>
      <c r="C191" s="5"/>
      <c r="D191" s="5"/>
      <c r="E191" s="5"/>
      <c r="F191" s="5"/>
      <c r="G191" s="5"/>
      <c r="H191" s="5"/>
      <c r="I191" s="6"/>
      <c r="J191" s="5"/>
      <c r="K191" s="5"/>
      <c r="L191" s="7"/>
      <c r="M191" s="7"/>
      <c r="N191" s="5"/>
      <c r="O191" s="8">
        <f>IF(B191="","",IF(AND(G191="Externe",J191&lt;&gt;"Oui"),"Annexer le rapport",IF(AND(K191="Oui",M191=""),"Suites à décider","Complet")))</f>
      </c>
    </row>
    <row r="192" spans="1:15" x14ac:dyDescent="0.25">
      <c r="A192" s="5">
        <v>188</v>
      </c>
      <c r="B192" s="6"/>
      <c r="C192" s="5"/>
      <c r="D192" s="5"/>
      <c r="E192" s="5"/>
      <c r="F192" s="5"/>
      <c r="G192" s="5"/>
      <c r="H192" s="5"/>
      <c r="I192" s="6"/>
      <c r="J192" s="5"/>
      <c r="K192" s="5"/>
      <c r="L192" s="7"/>
      <c r="M192" s="7"/>
      <c r="N192" s="5"/>
      <c r="O192" s="8">
        <f>IF(B192="","",IF(AND(G192="Externe",J192&lt;&gt;"Oui"),"Annexer le rapport",IF(AND(K192="Oui",M192=""),"Suites à décider","Complet")))</f>
      </c>
    </row>
    <row r="193" spans="1:15" x14ac:dyDescent="0.25">
      <c r="A193" s="5">
        <v>189</v>
      </c>
      <c r="B193" s="6"/>
      <c r="C193" s="5"/>
      <c r="D193" s="5"/>
      <c r="E193" s="5"/>
      <c r="F193" s="5"/>
      <c r="G193" s="5"/>
      <c r="H193" s="5"/>
      <c r="I193" s="6"/>
      <c r="J193" s="5"/>
      <c r="K193" s="5"/>
      <c r="L193" s="7"/>
      <c r="M193" s="7"/>
      <c r="N193" s="5"/>
      <c r="O193" s="8">
        <f>IF(B193="","",IF(AND(G193="Externe",J193&lt;&gt;"Oui"),"Annexer le rapport",IF(AND(K193="Oui",M193=""),"Suites à décider","Complet")))</f>
      </c>
    </row>
    <row r="194" spans="1:15" x14ac:dyDescent="0.25">
      <c r="A194" s="5">
        <v>190</v>
      </c>
      <c r="B194" s="6"/>
      <c r="C194" s="5"/>
      <c r="D194" s="5"/>
      <c r="E194" s="5"/>
      <c r="F194" s="5"/>
      <c r="G194" s="5"/>
      <c r="H194" s="5"/>
      <c r="I194" s="6"/>
      <c r="J194" s="5"/>
      <c r="K194" s="5"/>
      <c r="L194" s="7"/>
      <c r="M194" s="7"/>
      <c r="N194" s="5"/>
      <c r="O194" s="8">
        <f>IF(B194="","",IF(AND(G194="Externe",J194&lt;&gt;"Oui"),"Annexer le rapport",IF(AND(K194="Oui",M194=""),"Suites à décider","Complet")))</f>
      </c>
    </row>
    <row r="195" spans="1:15" x14ac:dyDescent="0.25">
      <c r="A195" s="5">
        <v>191</v>
      </c>
      <c r="B195" s="6"/>
      <c r="C195" s="5"/>
      <c r="D195" s="5"/>
      <c r="E195" s="5"/>
      <c r="F195" s="5"/>
      <c r="G195" s="5"/>
      <c r="H195" s="5"/>
      <c r="I195" s="6"/>
      <c r="J195" s="5"/>
      <c r="K195" s="5"/>
      <c r="L195" s="7"/>
      <c r="M195" s="7"/>
      <c r="N195" s="5"/>
      <c r="O195" s="8">
        <f>IF(B195="","",IF(AND(G195="Externe",J195&lt;&gt;"Oui"),"Annexer le rapport",IF(AND(K195="Oui",M195=""),"Suites à décider","Complet")))</f>
      </c>
    </row>
    <row r="196" spans="1:15" x14ac:dyDescent="0.25">
      <c r="A196" s="5">
        <v>192</v>
      </c>
      <c r="B196" s="6"/>
      <c r="C196" s="5"/>
      <c r="D196" s="5"/>
      <c r="E196" s="5"/>
      <c r="F196" s="5"/>
      <c r="G196" s="5"/>
      <c r="H196" s="5"/>
      <c r="I196" s="6"/>
      <c r="J196" s="5"/>
      <c r="K196" s="5"/>
      <c r="L196" s="7"/>
      <c r="M196" s="7"/>
      <c r="N196" s="5"/>
      <c r="O196" s="8">
        <f>IF(B196="","",IF(AND(G196="Externe",J196&lt;&gt;"Oui"),"Annexer le rapport",IF(AND(K196="Oui",M196=""),"Suites à décider","Complet")))</f>
      </c>
    </row>
    <row r="197" spans="1:15" x14ac:dyDescent="0.25">
      <c r="A197" s="5">
        <v>193</v>
      </c>
      <c r="B197" s="6"/>
      <c r="C197" s="5"/>
      <c r="D197" s="5"/>
      <c r="E197" s="5"/>
      <c r="F197" s="5"/>
      <c r="G197" s="5"/>
      <c r="H197" s="5"/>
      <c r="I197" s="6"/>
      <c r="J197" s="5"/>
      <c r="K197" s="5"/>
      <c r="L197" s="7"/>
      <c r="M197" s="7"/>
      <c r="N197" s="5"/>
      <c r="O197" s="8">
        <f>IF(B197="","",IF(AND(G197="Externe",J197&lt;&gt;"Oui"),"Annexer le rapport",IF(AND(K197="Oui",M197=""),"Suites à décider","Complet")))</f>
      </c>
    </row>
    <row r="198" spans="1:15" x14ac:dyDescent="0.25">
      <c r="A198" s="5">
        <v>194</v>
      </c>
      <c r="B198" s="6"/>
      <c r="C198" s="5"/>
      <c r="D198" s="5"/>
      <c r="E198" s="5"/>
      <c r="F198" s="5"/>
      <c r="G198" s="5"/>
      <c r="H198" s="5"/>
      <c r="I198" s="6"/>
      <c r="J198" s="5"/>
      <c r="K198" s="5"/>
      <c r="L198" s="7"/>
      <c r="M198" s="7"/>
      <c r="N198" s="5"/>
      <c r="O198" s="8">
        <f>IF(B198="","",IF(AND(G198="Externe",J198&lt;&gt;"Oui"),"Annexer le rapport",IF(AND(K198="Oui",M198=""),"Suites à décider","Complet")))</f>
      </c>
    </row>
    <row r="199" spans="1:15" x14ac:dyDescent="0.25">
      <c r="A199" s="5">
        <v>195</v>
      </c>
      <c r="B199" s="6"/>
      <c r="C199" s="5"/>
      <c r="D199" s="5"/>
      <c r="E199" s="5"/>
      <c r="F199" s="5"/>
      <c r="G199" s="5"/>
      <c r="H199" s="5"/>
      <c r="I199" s="6"/>
      <c r="J199" s="5"/>
      <c r="K199" s="5"/>
      <c r="L199" s="7"/>
      <c r="M199" s="7"/>
      <c r="N199" s="5"/>
      <c r="O199" s="8">
        <f>IF(B199="","",IF(AND(G199="Externe",J199&lt;&gt;"Oui"),"Annexer le rapport",IF(AND(K199="Oui",M199=""),"Suites à décider","Complet")))</f>
      </c>
    </row>
    <row r="200" spans="1:15" x14ac:dyDescent="0.25">
      <c r="A200" s="5">
        <v>196</v>
      </c>
      <c r="B200" s="6"/>
      <c r="C200" s="5"/>
      <c r="D200" s="5"/>
      <c r="E200" s="5"/>
      <c r="F200" s="5"/>
      <c r="G200" s="5"/>
      <c r="H200" s="5"/>
      <c r="I200" s="6"/>
      <c r="J200" s="5"/>
      <c r="K200" s="5"/>
      <c r="L200" s="7"/>
      <c r="M200" s="7"/>
      <c r="N200" s="5"/>
      <c r="O200" s="8">
        <f>IF(B200="","",IF(AND(G200="Externe",J200&lt;&gt;"Oui"),"Annexer le rapport",IF(AND(K200="Oui",M200=""),"Suites à décider","Complet")))</f>
      </c>
    </row>
    <row r="201" spans="1:15" x14ac:dyDescent="0.25">
      <c r="A201" s="5">
        <v>197</v>
      </c>
      <c r="B201" s="6"/>
      <c r="C201" s="5"/>
      <c r="D201" s="5"/>
      <c r="E201" s="5"/>
      <c r="F201" s="5"/>
      <c r="G201" s="5"/>
      <c r="H201" s="5"/>
      <c r="I201" s="6"/>
      <c r="J201" s="5"/>
      <c r="K201" s="5"/>
      <c r="L201" s="7"/>
      <c r="M201" s="7"/>
      <c r="N201" s="5"/>
      <c r="O201" s="8">
        <f>IF(B201="","",IF(AND(G201="Externe",J201&lt;&gt;"Oui"),"Annexer le rapport",IF(AND(K201="Oui",M201=""),"Suites à décider","Complet")))</f>
      </c>
    </row>
    <row r="202" spans="1:15" x14ac:dyDescent="0.25">
      <c r="A202" s="5">
        <v>198</v>
      </c>
      <c r="B202" s="6"/>
      <c r="C202" s="5"/>
      <c r="D202" s="5"/>
      <c r="E202" s="5"/>
      <c r="F202" s="5"/>
      <c r="G202" s="5"/>
      <c r="H202" s="5"/>
      <c r="I202" s="6"/>
      <c r="J202" s="5"/>
      <c r="K202" s="5"/>
      <c r="L202" s="7"/>
      <c r="M202" s="7"/>
      <c r="N202" s="5"/>
      <c r="O202" s="8">
        <f>IF(B202="","",IF(AND(G202="Externe",J202&lt;&gt;"Oui"),"Annexer le rapport",IF(AND(K202="Oui",M202=""),"Suites à décider","Complet")))</f>
      </c>
    </row>
    <row r="203" spans="1:15" x14ac:dyDescent="0.25">
      <c r="A203" s="5">
        <v>199</v>
      </c>
      <c r="B203" s="6"/>
      <c r="C203" s="5"/>
      <c r="D203" s="5"/>
      <c r="E203" s="5"/>
      <c r="F203" s="5"/>
      <c r="G203" s="5"/>
      <c r="H203" s="5"/>
      <c r="I203" s="6"/>
      <c r="J203" s="5"/>
      <c r="K203" s="5"/>
      <c r="L203" s="7"/>
      <c r="M203" s="7"/>
      <c r="N203" s="5"/>
      <c r="O203" s="8">
        <f>IF(B203="","",IF(AND(G203="Externe",J203&lt;&gt;"Oui"),"Annexer le rapport",IF(AND(K203="Oui",M203=""),"Suites à décider","Complet")))</f>
      </c>
    </row>
    <row r="204" spans="1:15" x14ac:dyDescent="0.25">
      <c r="A204" s="5">
        <v>200</v>
      </c>
      <c r="B204" s="6"/>
      <c r="C204" s="5"/>
      <c r="D204" s="5"/>
      <c r="E204" s="5"/>
      <c r="F204" s="5"/>
      <c r="G204" s="5"/>
      <c r="H204" s="5"/>
      <c r="I204" s="6"/>
      <c r="J204" s="5"/>
      <c r="K204" s="5"/>
      <c r="L204" s="7"/>
      <c r="M204" s="7"/>
      <c r="N204" s="5"/>
      <c r="O204" s="8">
        <f>IF(B204="","",IF(AND(G204="Externe",J204&lt;&gt;"Oui"),"Annexer le rapport",IF(AND(K204="Oui",M204=""),"Suites à décider","Complet")))</f>
      </c>
    </row>
    <row r="205" spans="1:15" x14ac:dyDescent="0.25">
      <c r="A205" s="5">
        <v>201</v>
      </c>
      <c r="B205" s="6"/>
      <c r="C205" s="5"/>
      <c r="D205" s="5"/>
      <c r="E205" s="5"/>
      <c r="F205" s="5"/>
      <c r="G205" s="5"/>
      <c r="H205" s="5"/>
      <c r="I205" s="6"/>
      <c r="J205" s="5"/>
      <c r="K205" s="5"/>
      <c r="L205" s="7"/>
      <c r="M205" s="7"/>
      <c r="N205" s="5"/>
      <c r="O205" s="8">
        <f>IF(B205="","",IF(AND(G205="Externe",J205&lt;&gt;"Oui"),"Annexer le rapport",IF(AND(K205="Oui",M205=""),"Suites à décider","Complet")))</f>
      </c>
    </row>
    <row r="206" spans="1:15" x14ac:dyDescent="0.25">
      <c r="A206" s="5">
        <v>202</v>
      </c>
      <c r="B206" s="6"/>
      <c r="C206" s="5"/>
      <c r="D206" s="5"/>
      <c r="E206" s="5"/>
      <c r="F206" s="5"/>
      <c r="G206" s="5"/>
      <c r="H206" s="5"/>
      <c r="I206" s="6"/>
      <c r="J206" s="5"/>
      <c r="K206" s="5"/>
      <c r="L206" s="7"/>
      <c r="M206" s="7"/>
      <c r="N206" s="5"/>
      <c r="O206" s="8">
        <f>IF(B206="","",IF(AND(G206="Externe",J206&lt;&gt;"Oui"),"Annexer le rapport",IF(AND(K206="Oui",M206=""),"Suites à décider","Complet")))</f>
      </c>
    </row>
    <row r="207" spans="1:15" x14ac:dyDescent="0.25">
      <c r="A207" s="5">
        <v>203</v>
      </c>
      <c r="B207" s="6"/>
      <c r="C207" s="5"/>
      <c r="D207" s="5"/>
      <c r="E207" s="5"/>
      <c r="F207" s="5"/>
      <c r="G207" s="5"/>
      <c r="H207" s="5"/>
      <c r="I207" s="6"/>
      <c r="J207" s="5"/>
      <c r="K207" s="5"/>
      <c r="L207" s="7"/>
      <c r="M207" s="7"/>
      <c r="N207" s="5"/>
      <c r="O207" s="8">
        <f>IF(B207="","",IF(AND(G207="Externe",J207&lt;&gt;"Oui"),"Annexer le rapport",IF(AND(K207="Oui",M207=""),"Suites à décider","Complet")))</f>
      </c>
    </row>
    <row r="208" spans="1:15" x14ac:dyDescent="0.25">
      <c r="A208" s="5">
        <v>204</v>
      </c>
      <c r="B208" s="6"/>
      <c r="C208" s="5"/>
      <c r="D208" s="5"/>
      <c r="E208" s="5"/>
      <c r="F208" s="5"/>
      <c r="G208" s="5"/>
      <c r="H208" s="5"/>
      <c r="I208" s="6"/>
      <c r="J208" s="5"/>
      <c r="K208" s="5"/>
      <c r="L208" s="7"/>
      <c r="M208" s="7"/>
      <c r="N208" s="5"/>
      <c r="O208" s="8">
        <f>IF(B208="","",IF(AND(G208="Externe",J208&lt;&gt;"Oui"),"Annexer le rapport",IF(AND(K208="Oui",M208=""),"Suites à décider","Complet")))</f>
      </c>
    </row>
    <row r="209" spans="1:15" x14ac:dyDescent="0.25">
      <c r="A209" s="5">
        <v>205</v>
      </c>
      <c r="B209" s="6"/>
      <c r="C209" s="5"/>
      <c r="D209" s="5"/>
      <c r="E209" s="5"/>
      <c r="F209" s="5"/>
      <c r="G209" s="5"/>
      <c r="H209" s="5"/>
      <c r="I209" s="6"/>
      <c r="J209" s="5"/>
      <c r="K209" s="5"/>
      <c r="L209" s="7"/>
      <c r="M209" s="7"/>
      <c r="N209" s="5"/>
      <c r="O209" s="8">
        <f>IF(B209="","",IF(AND(G209="Externe",J209&lt;&gt;"Oui"),"Annexer le rapport",IF(AND(K209="Oui",M209=""),"Suites à décider","Complet")))</f>
      </c>
    </row>
    <row r="210" spans="1:15" x14ac:dyDescent="0.25">
      <c r="A210" s="5">
        <v>206</v>
      </c>
      <c r="B210" s="6"/>
      <c r="C210" s="5"/>
      <c r="D210" s="5"/>
      <c r="E210" s="5"/>
      <c r="F210" s="5"/>
      <c r="G210" s="5"/>
      <c r="H210" s="5"/>
      <c r="I210" s="6"/>
      <c r="J210" s="5"/>
      <c r="K210" s="5"/>
      <c r="L210" s="7"/>
      <c r="M210" s="7"/>
      <c r="N210" s="5"/>
      <c r="O210" s="8">
        <f>IF(B210="","",IF(AND(G210="Externe",J210&lt;&gt;"Oui"),"Annexer le rapport",IF(AND(K210="Oui",M210=""),"Suites à décider","Complet")))</f>
      </c>
    </row>
    <row r="211" spans="1:15" x14ac:dyDescent="0.25">
      <c r="A211" s="5">
        <v>207</v>
      </c>
      <c r="B211" s="6"/>
      <c r="C211" s="5"/>
      <c r="D211" s="5"/>
      <c r="E211" s="5"/>
      <c r="F211" s="5"/>
      <c r="G211" s="5"/>
      <c r="H211" s="5"/>
      <c r="I211" s="6"/>
      <c r="J211" s="5"/>
      <c r="K211" s="5"/>
      <c r="L211" s="7"/>
      <c r="M211" s="7"/>
      <c r="N211" s="5"/>
      <c r="O211" s="8">
        <f>IF(B211="","",IF(AND(G211="Externe",J211&lt;&gt;"Oui"),"Annexer le rapport",IF(AND(K211="Oui",M211=""),"Suites à décider","Complet")))</f>
      </c>
    </row>
    <row r="212" spans="1:15" x14ac:dyDescent="0.25">
      <c r="A212" s="5">
        <v>208</v>
      </c>
      <c r="B212" s="6"/>
      <c r="C212" s="5"/>
      <c r="D212" s="5"/>
      <c r="E212" s="5"/>
      <c r="F212" s="5"/>
      <c r="G212" s="5"/>
      <c r="H212" s="5"/>
      <c r="I212" s="6"/>
      <c r="J212" s="5"/>
      <c r="K212" s="5"/>
      <c r="L212" s="7"/>
      <c r="M212" s="7"/>
      <c r="N212" s="5"/>
      <c r="O212" s="8">
        <f>IF(B212="","",IF(AND(G212="Externe",J212&lt;&gt;"Oui"),"Annexer le rapport",IF(AND(K212="Oui",M212=""),"Suites à décider","Complet")))</f>
      </c>
    </row>
    <row r="213" spans="1:15" x14ac:dyDescent="0.25">
      <c r="A213" s="5">
        <v>209</v>
      </c>
      <c r="B213" s="6"/>
      <c r="C213" s="5"/>
      <c r="D213" s="5"/>
      <c r="E213" s="5"/>
      <c r="F213" s="5"/>
      <c r="G213" s="5"/>
      <c r="H213" s="5"/>
      <c r="I213" s="6"/>
      <c r="J213" s="5"/>
      <c r="K213" s="5"/>
      <c r="L213" s="7"/>
      <c r="M213" s="7"/>
      <c r="N213" s="5"/>
      <c r="O213" s="8">
        <f>IF(B213="","",IF(AND(G213="Externe",J213&lt;&gt;"Oui"),"Annexer le rapport",IF(AND(K213="Oui",M213=""),"Suites à décider","Complet")))</f>
      </c>
    </row>
    <row r="214" spans="1:15" x14ac:dyDescent="0.25">
      <c r="A214" s="5">
        <v>210</v>
      </c>
      <c r="B214" s="6"/>
      <c r="C214" s="5"/>
      <c r="D214" s="5"/>
      <c r="E214" s="5"/>
      <c r="F214" s="5"/>
      <c r="G214" s="5"/>
      <c r="H214" s="5"/>
      <c r="I214" s="6"/>
      <c r="J214" s="5"/>
      <c r="K214" s="5"/>
      <c r="L214" s="7"/>
      <c r="M214" s="7"/>
      <c r="N214" s="5"/>
      <c r="O214" s="8">
        <f>IF(B214="","",IF(AND(G214="Externe",J214&lt;&gt;"Oui"),"Annexer le rapport",IF(AND(K214="Oui",M214=""),"Suites à décider","Complet")))</f>
      </c>
    </row>
    <row r="215" spans="1:15" x14ac:dyDescent="0.25">
      <c r="A215" s="5">
        <v>211</v>
      </c>
      <c r="B215" s="6"/>
      <c r="C215" s="5"/>
      <c r="D215" s="5"/>
      <c r="E215" s="5"/>
      <c r="F215" s="5"/>
      <c r="G215" s="5"/>
      <c r="H215" s="5"/>
      <c r="I215" s="6"/>
      <c r="J215" s="5"/>
      <c r="K215" s="5"/>
      <c r="L215" s="7"/>
      <c r="M215" s="7"/>
      <c r="N215" s="5"/>
      <c r="O215" s="8">
        <f>IF(B215="","",IF(AND(G215="Externe",J215&lt;&gt;"Oui"),"Annexer le rapport",IF(AND(K215="Oui",M215=""),"Suites à décider","Complet")))</f>
      </c>
    </row>
    <row r="216" spans="1:15" x14ac:dyDescent="0.25">
      <c r="A216" s="5">
        <v>212</v>
      </c>
      <c r="B216" s="6"/>
      <c r="C216" s="5"/>
      <c r="D216" s="5"/>
      <c r="E216" s="5"/>
      <c r="F216" s="5"/>
      <c r="G216" s="5"/>
      <c r="H216" s="5"/>
      <c r="I216" s="6"/>
      <c r="J216" s="5"/>
      <c r="K216" s="5"/>
      <c r="L216" s="7"/>
      <c r="M216" s="7"/>
      <c r="N216" s="5"/>
      <c r="O216" s="8">
        <f>IF(B216="","",IF(AND(G216="Externe",J216&lt;&gt;"Oui"),"Annexer le rapport",IF(AND(K216="Oui",M216=""),"Suites à décider","Complet")))</f>
      </c>
    </row>
    <row r="217" spans="1:15" x14ac:dyDescent="0.25">
      <c r="A217" s="5">
        <v>213</v>
      </c>
      <c r="B217" s="6"/>
      <c r="C217" s="5"/>
      <c r="D217" s="5"/>
      <c r="E217" s="5"/>
      <c r="F217" s="5"/>
      <c r="G217" s="5"/>
      <c r="H217" s="5"/>
      <c r="I217" s="6"/>
      <c r="J217" s="5"/>
      <c r="K217" s="5"/>
      <c r="L217" s="7"/>
      <c r="M217" s="7"/>
      <c r="N217" s="5"/>
      <c r="O217" s="8">
        <f>IF(B217="","",IF(AND(G217="Externe",J217&lt;&gt;"Oui"),"Annexer le rapport",IF(AND(K217="Oui",M217=""),"Suites à décider","Complet")))</f>
      </c>
    </row>
    <row r="218" spans="1:15" x14ac:dyDescent="0.25">
      <c r="A218" s="5">
        <v>214</v>
      </c>
      <c r="B218" s="6"/>
      <c r="C218" s="5"/>
      <c r="D218" s="5"/>
      <c r="E218" s="5"/>
      <c r="F218" s="5"/>
      <c r="G218" s="5"/>
      <c r="H218" s="5"/>
      <c r="I218" s="6"/>
      <c r="J218" s="5"/>
      <c r="K218" s="5"/>
      <c r="L218" s="7"/>
      <c r="M218" s="7"/>
      <c r="N218" s="5"/>
      <c r="O218" s="8">
        <f>IF(B218="","",IF(AND(G218="Externe",J218&lt;&gt;"Oui"),"Annexer le rapport",IF(AND(K218="Oui",M218=""),"Suites à décider","Complet")))</f>
      </c>
    </row>
    <row r="219" spans="1:15" x14ac:dyDescent="0.25">
      <c r="A219" s="5">
        <v>215</v>
      </c>
      <c r="B219" s="6"/>
      <c r="C219" s="5"/>
      <c r="D219" s="5"/>
      <c r="E219" s="5"/>
      <c r="F219" s="5"/>
      <c r="G219" s="5"/>
      <c r="H219" s="5"/>
      <c r="I219" s="6"/>
      <c r="J219" s="5"/>
      <c r="K219" s="5"/>
      <c r="L219" s="7"/>
      <c r="M219" s="7"/>
      <c r="N219" s="5"/>
      <c r="O219" s="8">
        <f>IF(B219="","",IF(AND(G219="Externe",J219&lt;&gt;"Oui"),"Annexer le rapport",IF(AND(K219="Oui",M219=""),"Suites à décider","Complet")))</f>
      </c>
    </row>
    <row r="220" spans="1:15" x14ac:dyDescent="0.25">
      <c r="A220" s="5">
        <v>216</v>
      </c>
      <c r="B220" s="6"/>
      <c r="C220" s="5"/>
      <c r="D220" s="5"/>
      <c r="E220" s="5"/>
      <c r="F220" s="5"/>
      <c r="G220" s="5"/>
      <c r="H220" s="5"/>
      <c r="I220" s="6"/>
      <c r="J220" s="5"/>
      <c r="K220" s="5"/>
      <c r="L220" s="7"/>
      <c r="M220" s="7"/>
      <c r="N220" s="5"/>
      <c r="O220" s="8">
        <f>IF(B220="","",IF(AND(G220="Externe",J220&lt;&gt;"Oui"),"Annexer le rapport",IF(AND(K220="Oui",M220=""),"Suites à décider","Complet")))</f>
      </c>
    </row>
    <row r="221" spans="1:15" x14ac:dyDescent="0.25">
      <c r="A221" s="5">
        <v>217</v>
      </c>
      <c r="B221" s="6"/>
      <c r="C221" s="5"/>
      <c r="D221" s="5"/>
      <c r="E221" s="5"/>
      <c r="F221" s="5"/>
      <c r="G221" s="5"/>
      <c r="H221" s="5"/>
      <c r="I221" s="6"/>
      <c r="J221" s="5"/>
      <c r="K221" s="5"/>
      <c r="L221" s="7"/>
      <c r="M221" s="7"/>
      <c r="N221" s="5"/>
      <c r="O221" s="8">
        <f>IF(B221="","",IF(AND(G221="Externe",J221&lt;&gt;"Oui"),"Annexer le rapport",IF(AND(K221="Oui",M221=""),"Suites à décider","Complet")))</f>
      </c>
    </row>
    <row r="222" spans="1:15" x14ac:dyDescent="0.25">
      <c r="A222" s="5">
        <v>218</v>
      </c>
      <c r="B222" s="6"/>
      <c r="C222" s="5"/>
      <c r="D222" s="5"/>
      <c r="E222" s="5"/>
      <c r="F222" s="5"/>
      <c r="G222" s="5"/>
      <c r="H222" s="5"/>
      <c r="I222" s="6"/>
      <c r="J222" s="5"/>
      <c r="K222" s="5"/>
      <c r="L222" s="7"/>
      <c r="M222" s="7"/>
      <c r="N222" s="5"/>
      <c r="O222" s="8">
        <f>IF(B222="","",IF(AND(G222="Externe",J222&lt;&gt;"Oui"),"Annexer le rapport",IF(AND(K222="Oui",M222=""),"Suites à décider","Complet")))</f>
      </c>
    </row>
    <row r="223" spans="1:15" x14ac:dyDescent="0.25">
      <c r="A223" s="5">
        <v>219</v>
      </c>
      <c r="B223" s="6"/>
      <c r="C223" s="5"/>
      <c r="D223" s="5"/>
      <c r="E223" s="5"/>
      <c r="F223" s="5"/>
      <c r="G223" s="5"/>
      <c r="H223" s="5"/>
      <c r="I223" s="6"/>
      <c r="J223" s="5"/>
      <c r="K223" s="5"/>
      <c r="L223" s="7"/>
      <c r="M223" s="7"/>
      <c r="N223" s="5"/>
      <c r="O223" s="8">
        <f>IF(B223="","",IF(AND(G223="Externe",J223&lt;&gt;"Oui"),"Annexer le rapport",IF(AND(K223="Oui",M223=""),"Suites à décider","Complet")))</f>
      </c>
    </row>
    <row r="224" spans="1:15" x14ac:dyDescent="0.25">
      <c r="A224" s="5">
        <v>220</v>
      </c>
      <c r="B224" s="6"/>
      <c r="C224" s="5"/>
      <c r="D224" s="5"/>
      <c r="E224" s="5"/>
      <c r="F224" s="5"/>
      <c r="G224" s="5"/>
      <c r="H224" s="5"/>
      <c r="I224" s="6"/>
      <c r="J224" s="5"/>
      <c r="K224" s="5"/>
      <c r="L224" s="7"/>
      <c r="M224" s="7"/>
      <c r="N224" s="5"/>
      <c r="O224" s="8">
        <f>IF(B224="","",IF(AND(G224="Externe",J224&lt;&gt;"Oui"),"Annexer le rapport",IF(AND(K224="Oui",M224=""),"Suites à décider","Complet")))</f>
      </c>
    </row>
    <row r="225" spans="1:15" x14ac:dyDescent="0.25">
      <c r="A225" s="5">
        <v>221</v>
      </c>
      <c r="B225" s="6"/>
      <c r="C225" s="5"/>
      <c r="D225" s="5"/>
      <c r="E225" s="5"/>
      <c r="F225" s="5"/>
      <c r="G225" s="5"/>
      <c r="H225" s="5"/>
      <c r="I225" s="6"/>
      <c r="J225" s="5"/>
      <c r="K225" s="5"/>
      <c r="L225" s="7"/>
      <c r="M225" s="7"/>
      <c r="N225" s="5"/>
      <c r="O225" s="8">
        <f>IF(B225="","",IF(AND(G225="Externe",J225&lt;&gt;"Oui"),"Annexer le rapport",IF(AND(K225="Oui",M225=""),"Suites à décider","Complet")))</f>
      </c>
    </row>
    <row r="226" spans="1:15" x14ac:dyDescent="0.25">
      <c r="A226" s="5">
        <v>222</v>
      </c>
      <c r="B226" s="6"/>
      <c r="C226" s="5"/>
      <c r="D226" s="5"/>
      <c r="E226" s="5"/>
      <c r="F226" s="5"/>
      <c r="G226" s="5"/>
      <c r="H226" s="5"/>
      <c r="I226" s="6"/>
      <c r="J226" s="5"/>
      <c r="K226" s="5"/>
      <c r="L226" s="7"/>
      <c r="M226" s="7"/>
      <c r="N226" s="5"/>
      <c r="O226" s="8">
        <f>IF(B226="","",IF(AND(G226="Externe",J226&lt;&gt;"Oui"),"Annexer le rapport",IF(AND(K226="Oui",M226=""),"Suites à décider","Complet")))</f>
      </c>
    </row>
    <row r="227" spans="1:15" x14ac:dyDescent="0.25">
      <c r="A227" s="5">
        <v>223</v>
      </c>
      <c r="B227" s="6"/>
      <c r="C227" s="5"/>
      <c r="D227" s="5"/>
      <c r="E227" s="5"/>
      <c r="F227" s="5"/>
      <c r="G227" s="5"/>
      <c r="H227" s="5"/>
      <c r="I227" s="6"/>
      <c r="J227" s="5"/>
      <c r="K227" s="5"/>
      <c r="L227" s="7"/>
      <c r="M227" s="7"/>
      <c r="N227" s="5"/>
      <c r="O227" s="8">
        <f>IF(B227="","",IF(AND(G227="Externe",J227&lt;&gt;"Oui"),"Annexer le rapport",IF(AND(K227="Oui",M227=""),"Suites à décider","Complet")))</f>
      </c>
    </row>
    <row r="228" spans="1:15" x14ac:dyDescent="0.25">
      <c r="A228" s="5">
        <v>224</v>
      </c>
      <c r="B228" s="6"/>
      <c r="C228" s="5"/>
      <c r="D228" s="5"/>
      <c r="E228" s="5"/>
      <c r="F228" s="5"/>
      <c r="G228" s="5"/>
      <c r="H228" s="5"/>
      <c r="I228" s="6"/>
      <c r="J228" s="5"/>
      <c r="K228" s="5"/>
      <c r="L228" s="7"/>
      <c r="M228" s="7"/>
      <c r="N228" s="5"/>
      <c r="O228" s="8">
        <f>IF(B228="","",IF(AND(G228="Externe",J228&lt;&gt;"Oui"),"Annexer le rapport",IF(AND(K228="Oui",M228=""),"Suites à décider","Complet")))</f>
      </c>
    </row>
    <row r="229" spans="1:15" x14ac:dyDescent="0.25">
      <c r="A229" s="5">
        <v>225</v>
      </c>
      <c r="B229" s="6"/>
      <c r="C229" s="5"/>
      <c r="D229" s="5"/>
      <c r="E229" s="5"/>
      <c r="F229" s="5"/>
      <c r="G229" s="5"/>
      <c r="H229" s="5"/>
      <c r="I229" s="6"/>
      <c r="J229" s="5"/>
      <c r="K229" s="5"/>
      <c r="L229" s="7"/>
      <c r="M229" s="7"/>
      <c r="N229" s="5"/>
      <c r="O229" s="8">
        <f>IF(B229="","",IF(AND(G229="Externe",J229&lt;&gt;"Oui"),"Annexer le rapport",IF(AND(K229="Oui",M229=""),"Suites à décider","Complet")))</f>
      </c>
    </row>
    <row r="230" spans="1:15" x14ac:dyDescent="0.25">
      <c r="A230" s="5">
        <v>226</v>
      </c>
      <c r="B230" s="6"/>
      <c r="C230" s="5"/>
      <c r="D230" s="5"/>
      <c r="E230" s="5"/>
      <c r="F230" s="5"/>
      <c r="G230" s="5"/>
      <c r="H230" s="5"/>
      <c r="I230" s="6"/>
      <c r="J230" s="5"/>
      <c r="K230" s="5"/>
      <c r="L230" s="7"/>
      <c r="M230" s="7"/>
      <c r="N230" s="5"/>
      <c r="O230" s="8">
        <f>IF(B230="","",IF(AND(G230="Externe",J230&lt;&gt;"Oui"),"Annexer le rapport",IF(AND(K230="Oui",M230=""),"Suites à décider","Complet")))</f>
      </c>
    </row>
    <row r="231" spans="1:15" x14ac:dyDescent="0.25">
      <c r="A231" s="5">
        <v>227</v>
      </c>
      <c r="B231" s="6"/>
      <c r="C231" s="5"/>
      <c r="D231" s="5"/>
      <c r="E231" s="5"/>
      <c r="F231" s="5"/>
      <c r="G231" s="5"/>
      <c r="H231" s="5"/>
      <c r="I231" s="6"/>
      <c r="J231" s="5"/>
      <c r="K231" s="5"/>
      <c r="L231" s="7"/>
      <c r="M231" s="7"/>
      <c r="N231" s="5"/>
      <c r="O231" s="8">
        <f>IF(B231="","",IF(AND(G231="Externe",J231&lt;&gt;"Oui"),"Annexer le rapport",IF(AND(K231="Oui",M231=""),"Suites à décider","Complet")))</f>
      </c>
    </row>
    <row r="232" spans="1:15" x14ac:dyDescent="0.25">
      <c r="A232" s="5">
        <v>228</v>
      </c>
      <c r="B232" s="6"/>
      <c r="C232" s="5"/>
      <c r="D232" s="5"/>
      <c r="E232" s="5"/>
      <c r="F232" s="5"/>
      <c r="G232" s="5"/>
      <c r="H232" s="5"/>
      <c r="I232" s="6"/>
      <c r="J232" s="5"/>
      <c r="K232" s="5"/>
      <c r="L232" s="7"/>
      <c r="M232" s="7"/>
      <c r="N232" s="5"/>
      <c r="O232" s="8">
        <f>IF(B232="","",IF(AND(G232="Externe",J232&lt;&gt;"Oui"),"Annexer le rapport",IF(AND(K232="Oui",M232=""),"Suites à décider","Complet")))</f>
      </c>
    </row>
    <row r="233" spans="1:15" x14ac:dyDescent="0.25">
      <c r="A233" s="5">
        <v>229</v>
      </c>
      <c r="B233" s="6"/>
      <c r="C233" s="5"/>
      <c r="D233" s="5"/>
      <c r="E233" s="5"/>
      <c r="F233" s="5"/>
      <c r="G233" s="5"/>
      <c r="H233" s="5"/>
      <c r="I233" s="6"/>
      <c r="J233" s="5"/>
      <c r="K233" s="5"/>
      <c r="L233" s="7"/>
      <c r="M233" s="7"/>
      <c r="N233" s="5"/>
      <c r="O233" s="8">
        <f>IF(B233="","",IF(AND(G233="Externe",J233&lt;&gt;"Oui"),"Annexer le rapport",IF(AND(K233="Oui",M233=""),"Suites à décider","Complet")))</f>
      </c>
    </row>
    <row r="234" spans="1:15" x14ac:dyDescent="0.25">
      <c r="A234" s="5">
        <v>230</v>
      </c>
      <c r="B234" s="6"/>
      <c r="C234" s="5"/>
      <c r="D234" s="5"/>
      <c r="E234" s="5"/>
      <c r="F234" s="5"/>
      <c r="G234" s="5"/>
      <c r="H234" s="5"/>
      <c r="I234" s="6"/>
      <c r="J234" s="5"/>
      <c r="K234" s="5"/>
      <c r="L234" s="7"/>
      <c r="M234" s="7"/>
      <c r="N234" s="5"/>
      <c r="O234" s="8">
        <f>IF(B234="","",IF(AND(G234="Externe",J234&lt;&gt;"Oui"),"Annexer le rapport",IF(AND(K234="Oui",M234=""),"Suites à décider","Complet")))</f>
      </c>
    </row>
    <row r="235" spans="1:15" x14ac:dyDescent="0.25">
      <c r="A235" s="5">
        <v>231</v>
      </c>
      <c r="B235" s="6"/>
      <c r="C235" s="5"/>
      <c r="D235" s="5"/>
      <c r="E235" s="5"/>
      <c r="F235" s="5"/>
      <c r="G235" s="5"/>
      <c r="H235" s="5"/>
      <c r="I235" s="6"/>
      <c r="J235" s="5"/>
      <c r="K235" s="5"/>
      <c r="L235" s="7"/>
      <c r="M235" s="7"/>
      <c r="N235" s="5"/>
      <c r="O235" s="8">
        <f>IF(B235="","",IF(AND(G235="Externe",J235&lt;&gt;"Oui"),"Annexer le rapport",IF(AND(K235="Oui",M235=""),"Suites à décider","Complet")))</f>
      </c>
    </row>
    <row r="236" spans="1:15" x14ac:dyDescent="0.25">
      <c r="A236" s="5">
        <v>232</v>
      </c>
      <c r="B236" s="6"/>
      <c r="C236" s="5"/>
      <c r="D236" s="5"/>
      <c r="E236" s="5"/>
      <c r="F236" s="5"/>
      <c r="G236" s="5"/>
      <c r="H236" s="5"/>
      <c r="I236" s="6"/>
      <c r="J236" s="5"/>
      <c r="K236" s="5"/>
      <c r="L236" s="7"/>
      <c r="M236" s="7"/>
      <c r="N236" s="5"/>
      <c r="O236" s="8">
        <f>IF(B236="","",IF(AND(G236="Externe",J236&lt;&gt;"Oui"),"Annexer le rapport",IF(AND(K236="Oui",M236=""),"Suites à décider","Complet")))</f>
      </c>
    </row>
    <row r="237" spans="1:15" x14ac:dyDescent="0.25">
      <c r="A237" s="5">
        <v>233</v>
      </c>
      <c r="B237" s="6"/>
      <c r="C237" s="5"/>
      <c r="D237" s="5"/>
      <c r="E237" s="5"/>
      <c r="F237" s="5"/>
      <c r="G237" s="5"/>
      <c r="H237" s="5"/>
      <c r="I237" s="6"/>
      <c r="J237" s="5"/>
      <c r="K237" s="5"/>
      <c r="L237" s="7"/>
      <c r="M237" s="7"/>
      <c r="N237" s="5"/>
      <c r="O237" s="8">
        <f>IF(B237="","",IF(AND(G237="Externe",J237&lt;&gt;"Oui"),"Annexer le rapport",IF(AND(K237="Oui",M237=""),"Suites à décider","Complet")))</f>
      </c>
    </row>
    <row r="238" spans="1:15" x14ac:dyDescent="0.25">
      <c r="A238" s="5">
        <v>234</v>
      </c>
      <c r="B238" s="6"/>
      <c r="C238" s="5"/>
      <c r="D238" s="5"/>
      <c r="E238" s="5"/>
      <c r="F238" s="5"/>
      <c r="G238" s="5"/>
      <c r="H238" s="5"/>
      <c r="I238" s="6"/>
      <c r="J238" s="5"/>
      <c r="K238" s="5"/>
      <c r="L238" s="7"/>
      <c r="M238" s="7"/>
      <c r="N238" s="5"/>
      <c r="O238" s="8">
        <f>IF(B238="","",IF(AND(G238="Externe",J238&lt;&gt;"Oui"),"Annexer le rapport",IF(AND(K238="Oui",M238=""),"Suites à décider","Complet")))</f>
      </c>
    </row>
    <row r="239" spans="1:15" x14ac:dyDescent="0.25">
      <c r="A239" s="5">
        <v>235</v>
      </c>
      <c r="B239" s="6"/>
      <c r="C239" s="5"/>
      <c r="D239" s="5"/>
      <c r="E239" s="5"/>
      <c r="F239" s="5"/>
      <c r="G239" s="5"/>
      <c r="H239" s="5"/>
      <c r="I239" s="6"/>
      <c r="J239" s="5"/>
      <c r="K239" s="5"/>
      <c r="L239" s="7"/>
      <c r="M239" s="7"/>
      <c r="N239" s="5"/>
      <c r="O239" s="8">
        <f>IF(B239="","",IF(AND(G239="Externe",J239&lt;&gt;"Oui"),"Annexer le rapport",IF(AND(K239="Oui",M239=""),"Suites à décider","Complet")))</f>
      </c>
    </row>
    <row r="240" spans="1:15" x14ac:dyDescent="0.25">
      <c r="A240" s="5">
        <v>236</v>
      </c>
      <c r="B240" s="6"/>
      <c r="C240" s="5"/>
      <c r="D240" s="5"/>
      <c r="E240" s="5"/>
      <c r="F240" s="5"/>
      <c r="G240" s="5"/>
      <c r="H240" s="5"/>
      <c r="I240" s="6"/>
      <c r="J240" s="5"/>
      <c r="K240" s="5"/>
      <c r="L240" s="7"/>
      <c r="M240" s="7"/>
      <c r="N240" s="5"/>
      <c r="O240" s="8">
        <f>IF(B240="","",IF(AND(G240="Externe",J240&lt;&gt;"Oui"),"Annexer le rapport",IF(AND(K240="Oui",M240=""),"Suites à décider","Complet")))</f>
      </c>
    </row>
    <row r="241" spans="1:15" x14ac:dyDescent="0.25">
      <c r="A241" s="5">
        <v>237</v>
      </c>
      <c r="B241" s="6"/>
      <c r="C241" s="5"/>
      <c r="D241" s="5"/>
      <c r="E241" s="5"/>
      <c r="F241" s="5"/>
      <c r="G241" s="5"/>
      <c r="H241" s="5"/>
      <c r="I241" s="6"/>
      <c r="J241" s="5"/>
      <c r="K241" s="5"/>
      <c r="L241" s="7"/>
      <c r="M241" s="7"/>
      <c r="N241" s="5"/>
      <c r="O241" s="8">
        <f>IF(B241="","",IF(AND(G241="Externe",J241&lt;&gt;"Oui"),"Annexer le rapport",IF(AND(K241="Oui",M241=""),"Suites à décider","Complet")))</f>
      </c>
    </row>
    <row r="242" spans="1:15" x14ac:dyDescent="0.25">
      <c r="A242" s="5">
        <v>238</v>
      </c>
      <c r="B242" s="6"/>
      <c r="C242" s="5"/>
      <c r="D242" s="5"/>
      <c r="E242" s="5"/>
      <c r="F242" s="5"/>
      <c r="G242" s="5"/>
      <c r="H242" s="5"/>
      <c r="I242" s="6"/>
      <c r="J242" s="5"/>
      <c r="K242" s="5"/>
      <c r="L242" s="7"/>
      <c r="M242" s="7"/>
      <c r="N242" s="5"/>
      <c r="O242" s="8">
        <f>IF(B242="","",IF(AND(G242="Externe",J242&lt;&gt;"Oui"),"Annexer le rapport",IF(AND(K242="Oui",M242=""),"Suites à décider","Complet")))</f>
      </c>
    </row>
    <row r="243" spans="1:15" x14ac:dyDescent="0.25">
      <c r="A243" s="5">
        <v>239</v>
      </c>
      <c r="B243" s="6"/>
      <c r="C243" s="5"/>
      <c r="D243" s="5"/>
      <c r="E243" s="5"/>
      <c r="F243" s="5"/>
      <c r="G243" s="5"/>
      <c r="H243" s="5"/>
      <c r="I243" s="6"/>
      <c r="J243" s="5"/>
      <c r="K243" s="5"/>
      <c r="L243" s="7"/>
      <c r="M243" s="7"/>
      <c r="N243" s="5"/>
      <c r="O243" s="8">
        <f>IF(B243="","",IF(AND(G243="Externe",J243&lt;&gt;"Oui"),"Annexer le rapport",IF(AND(K243="Oui",M243=""),"Suites à décider","Complet")))</f>
      </c>
    </row>
    <row r="244" spans="1:15" x14ac:dyDescent="0.25">
      <c r="A244" s="5">
        <v>240</v>
      </c>
      <c r="B244" s="6"/>
      <c r="C244" s="5"/>
      <c r="D244" s="5"/>
      <c r="E244" s="5"/>
      <c r="F244" s="5"/>
      <c r="G244" s="5"/>
      <c r="H244" s="5"/>
      <c r="I244" s="6"/>
      <c r="J244" s="5"/>
      <c r="K244" s="5"/>
      <c r="L244" s="7"/>
      <c r="M244" s="7"/>
      <c r="N244" s="5"/>
      <c r="O244" s="8">
        <f>IF(B244="","",IF(AND(G244="Externe",J244&lt;&gt;"Oui"),"Annexer le rapport",IF(AND(K244="Oui",M244=""),"Suites à décider","Complet")))</f>
      </c>
    </row>
    <row r="245" spans="1:15" x14ac:dyDescent="0.25">
      <c r="A245" s="5">
        <v>241</v>
      </c>
      <c r="B245" s="6"/>
      <c r="C245" s="5"/>
      <c r="D245" s="5"/>
      <c r="E245" s="5"/>
      <c r="F245" s="5"/>
      <c r="G245" s="5"/>
      <c r="H245" s="5"/>
      <c r="I245" s="6"/>
      <c r="J245" s="5"/>
      <c r="K245" s="5"/>
      <c r="L245" s="7"/>
      <c r="M245" s="7"/>
      <c r="N245" s="5"/>
      <c r="O245" s="8">
        <f>IF(B245="","",IF(AND(G245="Externe",J245&lt;&gt;"Oui"),"Annexer le rapport",IF(AND(K245="Oui",M245=""),"Suites à décider","Complet")))</f>
      </c>
    </row>
    <row r="246" spans="1:15" x14ac:dyDescent="0.25">
      <c r="A246" s="5">
        <v>242</v>
      </c>
      <c r="B246" s="6"/>
      <c r="C246" s="5"/>
      <c r="D246" s="5"/>
      <c r="E246" s="5"/>
      <c r="F246" s="5"/>
      <c r="G246" s="5"/>
      <c r="H246" s="5"/>
      <c r="I246" s="6"/>
      <c r="J246" s="5"/>
      <c r="K246" s="5"/>
      <c r="L246" s="7"/>
      <c r="M246" s="7"/>
      <c r="N246" s="5"/>
      <c r="O246" s="8">
        <f>IF(B246="","",IF(AND(G246="Externe",J246&lt;&gt;"Oui"),"Annexer le rapport",IF(AND(K246="Oui",M246=""),"Suites à décider","Complet")))</f>
      </c>
    </row>
    <row r="247" spans="1:15" x14ac:dyDescent="0.25">
      <c r="A247" s="5">
        <v>243</v>
      </c>
      <c r="B247" s="6"/>
      <c r="C247" s="5"/>
      <c r="D247" s="5"/>
      <c r="E247" s="5"/>
      <c r="F247" s="5"/>
      <c r="G247" s="5"/>
      <c r="H247" s="5"/>
      <c r="I247" s="6"/>
      <c r="J247" s="5"/>
      <c r="K247" s="5"/>
      <c r="L247" s="7"/>
      <c r="M247" s="7"/>
      <c r="N247" s="5"/>
      <c r="O247" s="8">
        <f>IF(B247="","",IF(AND(G247="Externe",J247&lt;&gt;"Oui"),"Annexer le rapport",IF(AND(K247="Oui",M247=""),"Suites à décider","Complet")))</f>
      </c>
    </row>
    <row r="248" spans="1:15" x14ac:dyDescent="0.25">
      <c r="A248" s="5">
        <v>244</v>
      </c>
      <c r="B248" s="6"/>
      <c r="C248" s="5"/>
      <c r="D248" s="5"/>
      <c r="E248" s="5"/>
      <c r="F248" s="5"/>
      <c r="G248" s="5"/>
      <c r="H248" s="5"/>
      <c r="I248" s="6"/>
      <c r="J248" s="5"/>
      <c r="K248" s="5"/>
      <c r="L248" s="7"/>
      <c r="M248" s="7"/>
      <c r="N248" s="5"/>
      <c r="O248" s="8">
        <f>IF(B248="","",IF(AND(G248="Externe",J248&lt;&gt;"Oui"),"Annexer le rapport",IF(AND(K248="Oui",M248=""),"Suites à décider","Complet")))</f>
      </c>
    </row>
    <row r="249" spans="1:15" x14ac:dyDescent="0.25">
      <c r="A249" s="5">
        <v>245</v>
      </c>
      <c r="B249" s="6"/>
      <c r="C249" s="5"/>
      <c r="D249" s="5"/>
      <c r="E249" s="5"/>
      <c r="F249" s="5"/>
      <c r="G249" s="5"/>
      <c r="H249" s="5"/>
      <c r="I249" s="6"/>
      <c r="J249" s="5"/>
      <c r="K249" s="5"/>
      <c r="L249" s="7"/>
      <c r="M249" s="7"/>
      <c r="N249" s="5"/>
      <c r="O249" s="8">
        <f>IF(B249="","",IF(AND(G249="Externe",J249&lt;&gt;"Oui"),"Annexer le rapport",IF(AND(K249="Oui",M249=""),"Suites à décider","Complet")))</f>
      </c>
    </row>
    <row r="250" spans="1:15" x14ac:dyDescent="0.25">
      <c r="A250" s="5">
        <v>246</v>
      </c>
      <c r="B250" s="6"/>
      <c r="C250" s="5"/>
      <c r="D250" s="5"/>
      <c r="E250" s="5"/>
      <c r="F250" s="5"/>
      <c r="G250" s="5"/>
      <c r="H250" s="5"/>
      <c r="I250" s="6"/>
      <c r="J250" s="5"/>
      <c r="K250" s="5"/>
      <c r="L250" s="7"/>
      <c r="M250" s="7"/>
      <c r="N250" s="5"/>
      <c r="O250" s="8">
        <f>IF(B250="","",IF(AND(G250="Externe",J250&lt;&gt;"Oui"),"Annexer le rapport",IF(AND(K250="Oui",M250=""),"Suites à décider","Complet")))</f>
      </c>
    </row>
    <row r="251" spans="1:15" x14ac:dyDescent="0.25">
      <c r="A251" s="5">
        <v>247</v>
      </c>
      <c r="B251" s="6"/>
      <c r="C251" s="5"/>
      <c r="D251" s="5"/>
      <c r="E251" s="5"/>
      <c r="F251" s="5"/>
      <c r="G251" s="5"/>
      <c r="H251" s="5"/>
      <c r="I251" s="6"/>
      <c r="J251" s="5"/>
      <c r="K251" s="5"/>
      <c r="L251" s="7"/>
      <c r="M251" s="7"/>
      <c r="N251" s="5"/>
      <c r="O251" s="8">
        <f>IF(B251="","",IF(AND(G251="Externe",J251&lt;&gt;"Oui"),"Annexer le rapport",IF(AND(K251="Oui",M251=""),"Suites à décider","Complet")))</f>
      </c>
    </row>
    <row r="252" spans="1:15" x14ac:dyDescent="0.25">
      <c r="A252" s="5">
        <v>248</v>
      </c>
      <c r="B252" s="6"/>
      <c r="C252" s="5"/>
      <c r="D252" s="5"/>
      <c r="E252" s="5"/>
      <c r="F252" s="5"/>
      <c r="G252" s="5"/>
      <c r="H252" s="5"/>
      <c r="I252" s="6"/>
      <c r="J252" s="5"/>
      <c r="K252" s="5"/>
      <c r="L252" s="7"/>
      <c r="M252" s="7"/>
      <c r="N252" s="5"/>
      <c r="O252" s="8">
        <f>IF(B252="","",IF(AND(G252="Externe",J252&lt;&gt;"Oui"),"Annexer le rapport",IF(AND(K252="Oui",M252=""),"Suites à décider","Complet")))</f>
      </c>
    </row>
    <row r="253" spans="1:15" x14ac:dyDescent="0.25">
      <c r="A253" s="5">
        <v>249</v>
      </c>
      <c r="B253" s="6"/>
      <c r="C253" s="5"/>
      <c r="D253" s="5"/>
      <c r="E253" s="5"/>
      <c r="F253" s="5"/>
      <c r="G253" s="5"/>
      <c r="H253" s="5"/>
      <c r="I253" s="6"/>
      <c r="J253" s="5"/>
      <c r="K253" s="5"/>
      <c r="L253" s="7"/>
      <c r="M253" s="7"/>
      <c r="N253" s="5"/>
      <c r="O253" s="8">
        <f>IF(B253="","",IF(AND(G253="Externe",J253&lt;&gt;"Oui"),"Annexer le rapport",IF(AND(K253="Oui",M253=""),"Suites à décider","Complet")))</f>
      </c>
    </row>
    <row r="254" spans="1:15" x14ac:dyDescent="0.25">
      <c r="A254" s="5">
        <v>250</v>
      </c>
      <c r="B254" s="6"/>
      <c r="C254" s="5"/>
      <c r="D254" s="5"/>
      <c r="E254" s="5"/>
      <c r="F254" s="5"/>
      <c r="G254" s="5"/>
      <c r="H254" s="5"/>
      <c r="I254" s="6"/>
      <c r="J254" s="5"/>
      <c r="K254" s="5"/>
      <c r="L254" s="7"/>
      <c r="M254" s="7"/>
      <c r="N254" s="5"/>
      <c r="O254" s="8">
        <f>IF(B254="","",IF(AND(G254="Externe",J254&lt;&gt;"Oui"),"Annexer le rapport",IF(AND(K254="Oui",M254=""),"Suites à décider","Complet")))</f>
      </c>
    </row>
    <row r="255" spans="1:15" x14ac:dyDescent="0.25">
      <c r="A255" s="5">
        <v>251</v>
      </c>
      <c r="B255" s="6"/>
      <c r="C255" s="5"/>
      <c r="D255" s="5"/>
      <c r="E255" s="5"/>
      <c r="F255" s="5"/>
      <c r="G255" s="5"/>
      <c r="H255" s="5"/>
      <c r="I255" s="6"/>
      <c r="J255" s="5"/>
      <c r="K255" s="5"/>
      <c r="L255" s="7"/>
      <c r="M255" s="7"/>
      <c r="N255" s="5"/>
      <c r="O255" s="8">
        <f>IF(B255="","",IF(AND(G255="Externe",J255&lt;&gt;"Oui"),"Annexer le rapport",IF(AND(K255="Oui",M255=""),"Suites à décider","Complet")))</f>
      </c>
    </row>
    <row r="256" spans="1:15" x14ac:dyDescent="0.25">
      <c r="A256" s="5">
        <v>252</v>
      </c>
      <c r="B256" s="6"/>
      <c r="C256" s="5"/>
      <c r="D256" s="5"/>
      <c r="E256" s="5"/>
      <c r="F256" s="5"/>
      <c r="G256" s="5"/>
      <c r="H256" s="5"/>
      <c r="I256" s="6"/>
      <c r="J256" s="5"/>
      <c r="K256" s="5"/>
      <c r="L256" s="7"/>
      <c r="M256" s="7"/>
      <c r="N256" s="5"/>
      <c r="O256" s="8">
        <f>IF(B256="","",IF(AND(G256="Externe",J256&lt;&gt;"Oui"),"Annexer le rapport",IF(AND(K256="Oui",M256=""),"Suites à décider","Complet")))</f>
      </c>
    </row>
    <row r="257" spans="1:15" x14ac:dyDescent="0.25">
      <c r="A257" s="5">
        <v>253</v>
      </c>
      <c r="B257" s="6"/>
      <c r="C257" s="5"/>
      <c r="D257" s="5"/>
      <c r="E257" s="5"/>
      <c r="F257" s="5"/>
      <c r="G257" s="5"/>
      <c r="H257" s="5"/>
      <c r="I257" s="6"/>
      <c r="J257" s="5"/>
      <c r="K257" s="5"/>
      <c r="L257" s="7"/>
      <c r="M257" s="7"/>
      <c r="N257" s="5"/>
      <c r="O257" s="8">
        <f>IF(B257="","",IF(AND(G257="Externe",J257&lt;&gt;"Oui"),"Annexer le rapport",IF(AND(K257="Oui",M257=""),"Suites à décider","Complet")))</f>
      </c>
    </row>
    <row r="258" spans="1:15" x14ac:dyDescent="0.25">
      <c r="A258" s="5">
        <v>254</v>
      </c>
      <c r="B258" s="6"/>
      <c r="C258" s="5"/>
      <c r="D258" s="5"/>
      <c r="E258" s="5"/>
      <c r="F258" s="5"/>
      <c r="G258" s="5"/>
      <c r="H258" s="5"/>
      <c r="I258" s="6"/>
      <c r="J258" s="5"/>
      <c r="K258" s="5"/>
      <c r="L258" s="7"/>
      <c r="M258" s="7"/>
      <c r="N258" s="5"/>
      <c r="O258" s="8">
        <f>IF(B258="","",IF(AND(G258="Externe",J258&lt;&gt;"Oui"),"Annexer le rapport",IF(AND(K258="Oui",M258=""),"Suites à décider","Complet")))</f>
      </c>
    </row>
    <row r="259" spans="1:15" x14ac:dyDescent="0.25">
      <c r="A259" s="5">
        <v>255</v>
      </c>
      <c r="B259" s="6"/>
      <c r="C259" s="5"/>
      <c r="D259" s="5"/>
      <c r="E259" s="5"/>
      <c r="F259" s="5"/>
      <c r="G259" s="5"/>
      <c r="H259" s="5"/>
      <c r="I259" s="6"/>
      <c r="J259" s="5"/>
      <c r="K259" s="5"/>
      <c r="L259" s="7"/>
      <c r="M259" s="7"/>
      <c r="N259" s="5"/>
      <c r="O259" s="8">
        <f>IF(B259="","",IF(AND(G259="Externe",J259&lt;&gt;"Oui"),"Annexer le rapport",IF(AND(K259="Oui",M259=""),"Suites à décider","Complet")))</f>
      </c>
    </row>
    <row r="260" spans="1:15" x14ac:dyDescent="0.25">
      <c r="A260" s="5">
        <v>256</v>
      </c>
      <c r="B260" s="6"/>
      <c r="C260" s="5"/>
      <c r="D260" s="5"/>
      <c r="E260" s="5"/>
      <c r="F260" s="5"/>
      <c r="G260" s="5"/>
      <c r="H260" s="5"/>
      <c r="I260" s="6"/>
      <c r="J260" s="5"/>
      <c r="K260" s="5"/>
      <c r="L260" s="7"/>
      <c r="M260" s="7"/>
      <c r="N260" s="5"/>
      <c r="O260" s="8">
        <f>IF(B260="","",IF(AND(G260="Externe",J260&lt;&gt;"Oui"),"Annexer le rapport",IF(AND(K260="Oui",M260=""),"Suites à décider","Complet")))</f>
      </c>
    </row>
    <row r="261" spans="1:15" x14ac:dyDescent="0.25">
      <c r="A261" s="5">
        <v>257</v>
      </c>
      <c r="B261" s="6"/>
      <c r="C261" s="5"/>
      <c r="D261" s="5"/>
      <c r="E261" s="5"/>
      <c r="F261" s="5"/>
      <c r="G261" s="5"/>
      <c r="H261" s="5"/>
      <c r="I261" s="6"/>
      <c r="J261" s="5"/>
      <c r="K261" s="5"/>
      <c r="L261" s="7"/>
      <c r="M261" s="7"/>
      <c r="N261" s="5"/>
      <c r="O261" s="8">
        <f>IF(B261="","",IF(AND(G261="Externe",J261&lt;&gt;"Oui"),"Annexer le rapport",IF(AND(K261="Oui",M261=""),"Suites à décider","Complet")))</f>
      </c>
    </row>
    <row r="262" spans="1:15" x14ac:dyDescent="0.25">
      <c r="A262" s="5">
        <v>258</v>
      </c>
      <c r="B262" s="6"/>
      <c r="C262" s="5"/>
      <c r="D262" s="5"/>
      <c r="E262" s="5"/>
      <c r="F262" s="5"/>
      <c r="G262" s="5"/>
      <c r="H262" s="5"/>
      <c r="I262" s="6"/>
      <c r="J262" s="5"/>
      <c r="K262" s="5"/>
      <c r="L262" s="7"/>
      <c r="M262" s="7"/>
      <c r="N262" s="5"/>
      <c r="O262" s="8">
        <f>IF(B262="","",IF(AND(G262="Externe",J262&lt;&gt;"Oui"),"Annexer le rapport",IF(AND(K262="Oui",M262=""),"Suites à décider","Complet")))</f>
      </c>
    </row>
    <row r="263" spans="1:15" x14ac:dyDescent="0.25">
      <c r="A263" s="5">
        <v>259</v>
      </c>
      <c r="B263" s="6"/>
      <c r="C263" s="5"/>
      <c r="D263" s="5"/>
      <c r="E263" s="5"/>
      <c r="F263" s="5"/>
      <c r="G263" s="5"/>
      <c r="H263" s="5"/>
      <c r="I263" s="6"/>
      <c r="J263" s="5"/>
      <c r="K263" s="5"/>
      <c r="L263" s="7"/>
      <c r="M263" s="7"/>
      <c r="N263" s="5"/>
      <c r="O263" s="8">
        <f>IF(B263="","",IF(AND(G263="Externe",J263&lt;&gt;"Oui"),"Annexer le rapport",IF(AND(K263="Oui",M263=""),"Suites à décider","Complet")))</f>
      </c>
    </row>
    <row r="264" spans="1:15" x14ac:dyDescent="0.25">
      <c r="A264" s="5">
        <v>260</v>
      </c>
      <c r="B264" s="6"/>
      <c r="C264" s="5"/>
      <c r="D264" s="5"/>
      <c r="E264" s="5"/>
      <c r="F264" s="5"/>
      <c r="G264" s="5"/>
      <c r="H264" s="5"/>
      <c r="I264" s="6"/>
      <c r="J264" s="5"/>
      <c r="K264" s="5"/>
      <c r="L264" s="7"/>
      <c r="M264" s="7"/>
      <c r="N264" s="5"/>
      <c r="O264" s="8">
        <f>IF(B264="","",IF(AND(G264="Externe",J264&lt;&gt;"Oui"),"Annexer le rapport",IF(AND(K264="Oui",M264=""),"Suites à décider","Complet")))</f>
      </c>
    </row>
    <row r="265" spans="1:15" x14ac:dyDescent="0.25">
      <c r="A265" s="5">
        <v>261</v>
      </c>
      <c r="B265" s="6"/>
      <c r="C265" s="5"/>
      <c r="D265" s="5"/>
      <c r="E265" s="5"/>
      <c r="F265" s="5"/>
      <c r="G265" s="5"/>
      <c r="H265" s="5"/>
      <c r="I265" s="6"/>
      <c r="J265" s="5"/>
      <c r="K265" s="5"/>
      <c r="L265" s="7"/>
      <c r="M265" s="7"/>
      <c r="N265" s="5"/>
      <c r="O265" s="8">
        <f>IF(B265="","",IF(AND(G265="Externe",J265&lt;&gt;"Oui"),"Annexer le rapport",IF(AND(K265="Oui",M265=""),"Suites à décider","Complet")))</f>
      </c>
    </row>
    <row r="266" spans="1:15" x14ac:dyDescent="0.25">
      <c r="A266" s="5">
        <v>262</v>
      </c>
      <c r="B266" s="6"/>
      <c r="C266" s="5"/>
      <c r="D266" s="5"/>
      <c r="E266" s="5"/>
      <c r="F266" s="5"/>
      <c r="G266" s="5"/>
      <c r="H266" s="5"/>
      <c r="I266" s="6"/>
      <c r="J266" s="5"/>
      <c r="K266" s="5"/>
      <c r="L266" s="7"/>
      <c r="M266" s="7"/>
      <c r="N266" s="5"/>
      <c r="O266" s="8">
        <f>IF(B266="","",IF(AND(G266="Externe",J266&lt;&gt;"Oui"),"Annexer le rapport",IF(AND(K266="Oui",M266=""),"Suites à décider","Complet")))</f>
      </c>
    </row>
    <row r="267" spans="1:15" x14ac:dyDescent="0.25">
      <c r="A267" s="5">
        <v>263</v>
      </c>
      <c r="B267" s="6"/>
      <c r="C267" s="5"/>
      <c r="D267" s="5"/>
      <c r="E267" s="5"/>
      <c r="F267" s="5"/>
      <c r="G267" s="5"/>
      <c r="H267" s="5"/>
      <c r="I267" s="6"/>
      <c r="J267" s="5"/>
      <c r="K267" s="5"/>
      <c r="L267" s="7"/>
      <c r="M267" s="7"/>
      <c r="N267" s="5"/>
      <c r="O267" s="8">
        <f>IF(B267="","",IF(AND(G267="Externe",J267&lt;&gt;"Oui"),"Annexer le rapport",IF(AND(K267="Oui",M267=""),"Suites à décider","Complet")))</f>
      </c>
    </row>
    <row r="268" spans="1:15" x14ac:dyDescent="0.25">
      <c r="A268" s="5">
        <v>264</v>
      </c>
      <c r="B268" s="6"/>
      <c r="C268" s="5"/>
      <c r="D268" s="5"/>
      <c r="E268" s="5"/>
      <c r="F268" s="5"/>
      <c r="G268" s="5"/>
      <c r="H268" s="5"/>
      <c r="I268" s="6"/>
      <c r="J268" s="5"/>
      <c r="K268" s="5"/>
      <c r="L268" s="7"/>
      <c r="M268" s="7"/>
      <c r="N268" s="5"/>
      <c r="O268" s="8">
        <f>IF(B268="","",IF(AND(G268="Externe",J268&lt;&gt;"Oui"),"Annexer le rapport",IF(AND(K268="Oui",M268=""),"Suites à décider","Complet")))</f>
      </c>
    </row>
    <row r="269" spans="1:15" x14ac:dyDescent="0.25">
      <c r="A269" s="5">
        <v>265</v>
      </c>
      <c r="B269" s="6"/>
      <c r="C269" s="5"/>
      <c r="D269" s="5"/>
      <c r="E269" s="5"/>
      <c r="F269" s="5"/>
      <c r="G269" s="5"/>
      <c r="H269" s="5"/>
      <c r="I269" s="6"/>
      <c r="J269" s="5"/>
      <c r="K269" s="5"/>
      <c r="L269" s="7"/>
      <c r="M269" s="7"/>
      <c r="N269" s="5"/>
      <c r="O269" s="8">
        <f>IF(B269="","",IF(AND(G269="Externe",J269&lt;&gt;"Oui"),"Annexer le rapport",IF(AND(K269="Oui",M269=""),"Suites à décider","Complet")))</f>
      </c>
    </row>
    <row r="270" spans="1:15" x14ac:dyDescent="0.25">
      <c r="A270" s="5">
        <v>266</v>
      </c>
      <c r="B270" s="6"/>
      <c r="C270" s="5"/>
      <c r="D270" s="5"/>
      <c r="E270" s="5"/>
      <c r="F270" s="5"/>
      <c r="G270" s="5"/>
      <c r="H270" s="5"/>
      <c r="I270" s="6"/>
      <c r="J270" s="5"/>
      <c r="K270" s="5"/>
      <c r="L270" s="7"/>
      <c r="M270" s="7"/>
      <c r="N270" s="5"/>
      <c r="O270" s="8">
        <f>IF(B270="","",IF(AND(G270="Externe",J270&lt;&gt;"Oui"),"Annexer le rapport",IF(AND(K270="Oui",M270=""),"Suites à décider","Complet")))</f>
      </c>
    </row>
    <row r="271" spans="1:15" x14ac:dyDescent="0.25">
      <c r="A271" s="5">
        <v>267</v>
      </c>
      <c r="B271" s="6"/>
      <c r="C271" s="5"/>
      <c r="D271" s="5"/>
      <c r="E271" s="5"/>
      <c r="F271" s="5"/>
      <c r="G271" s="5"/>
      <c r="H271" s="5"/>
      <c r="I271" s="6"/>
      <c r="J271" s="5"/>
      <c r="K271" s="5"/>
      <c r="L271" s="7"/>
      <c r="M271" s="7"/>
      <c r="N271" s="5"/>
      <c r="O271" s="8">
        <f>IF(B271="","",IF(AND(G271="Externe",J271&lt;&gt;"Oui"),"Annexer le rapport",IF(AND(K271="Oui",M271=""),"Suites à décider","Complet")))</f>
      </c>
    </row>
    <row r="272" spans="1:15" x14ac:dyDescent="0.25">
      <c r="A272" s="5">
        <v>268</v>
      </c>
      <c r="B272" s="6"/>
      <c r="C272" s="5"/>
      <c r="D272" s="5"/>
      <c r="E272" s="5"/>
      <c r="F272" s="5"/>
      <c r="G272" s="5"/>
      <c r="H272" s="5"/>
      <c r="I272" s="6"/>
      <c r="J272" s="5"/>
      <c r="K272" s="5"/>
      <c r="L272" s="7"/>
      <c r="M272" s="7"/>
      <c r="N272" s="5"/>
      <c r="O272" s="8">
        <f>IF(B272="","",IF(AND(G272="Externe",J272&lt;&gt;"Oui"),"Annexer le rapport",IF(AND(K272="Oui",M272=""),"Suites à décider","Complet")))</f>
      </c>
    </row>
    <row r="273" spans="1:15" x14ac:dyDescent="0.25">
      <c r="A273" s="5">
        <v>269</v>
      </c>
      <c r="B273" s="6"/>
      <c r="C273" s="5"/>
      <c r="D273" s="5"/>
      <c r="E273" s="5"/>
      <c r="F273" s="5"/>
      <c r="G273" s="5"/>
      <c r="H273" s="5"/>
      <c r="I273" s="6"/>
      <c r="J273" s="5"/>
      <c r="K273" s="5"/>
      <c r="L273" s="7"/>
      <c r="M273" s="7"/>
      <c r="N273" s="5"/>
      <c r="O273" s="8">
        <f>IF(B273="","",IF(AND(G273="Externe",J273&lt;&gt;"Oui"),"Annexer le rapport",IF(AND(K273="Oui",M273=""),"Suites à décider","Complet")))</f>
      </c>
    </row>
    <row r="274" spans="1:15" x14ac:dyDescent="0.25">
      <c r="A274" s="5">
        <v>270</v>
      </c>
      <c r="B274" s="6"/>
      <c r="C274" s="5"/>
      <c r="D274" s="5"/>
      <c r="E274" s="5"/>
      <c r="F274" s="5"/>
      <c r="G274" s="5"/>
      <c r="H274" s="5"/>
      <c r="I274" s="6"/>
      <c r="J274" s="5"/>
      <c r="K274" s="5"/>
      <c r="L274" s="7"/>
      <c r="M274" s="7"/>
      <c r="N274" s="5"/>
      <c r="O274" s="8">
        <f>IF(B274="","",IF(AND(G274="Externe",J274&lt;&gt;"Oui"),"Annexer le rapport",IF(AND(K274="Oui",M274=""),"Suites à décider","Complet")))</f>
      </c>
    </row>
    <row r="275" spans="1:15" x14ac:dyDescent="0.25">
      <c r="A275" s="5">
        <v>271</v>
      </c>
      <c r="B275" s="6"/>
      <c r="C275" s="5"/>
      <c r="D275" s="5"/>
      <c r="E275" s="5"/>
      <c r="F275" s="5"/>
      <c r="G275" s="5"/>
      <c r="H275" s="5"/>
      <c r="I275" s="6"/>
      <c r="J275" s="5"/>
      <c r="K275" s="5"/>
      <c r="L275" s="7"/>
      <c r="M275" s="7"/>
      <c r="N275" s="5"/>
      <c r="O275" s="8">
        <f>IF(B275="","",IF(AND(G275="Externe",J275&lt;&gt;"Oui"),"Annexer le rapport",IF(AND(K275="Oui",M275=""),"Suites à décider","Complet")))</f>
      </c>
    </row>
    <row r="276" spans="1:15" x14ac:dyDescent="0.25">
      <c r="A276" s="5">
        <v>272</v>
      </c>
      <c r="B276" s="6"/>
      <c r="C276" s="5"/>
      <c r="D276" s="5"/>
      <c r="E276" s="5"/>
      <c r="F276" s="5"/>
      <c r="G276" s="5"/>
      <c r="H276" s="5"/>
      <c r="I276" s="6"/>
      <c r="J276" s="5"/>
      <c r="K276" s="5"/>
      <c r="L276" s="7"/>
      <c r="M276" s="7"/>
      <c r="N276" s="5"/>
      <c r="O276" s="8">
        <f>IF(B276="","",IF(AND(G276="Externe",J276&lt;&gt;"Oui"),"Annexer le rapport",IF(AND(K276="Oui",M276=""),"Suites à décider","Complet")))</f>
      </c>
    </row>
    <row r="277" spans="1:15" x14ac:dyDescent="0.25">
      <c r="A277" s="5">
        <v>273</v>
      </c>
      <c r="B277" s="6"/>
      <c r="C277" s="5"/>
      <c r="D277" s="5"/>
      <c r="E277" s="5"/>
      <c r="F277" s="5"/>
      <c r="G277" s="5"/>
      <c r="H277" s="5"/>
      <c r="I277" s="6"/>
      <c r="J277" s="5"/>
      <c r="K277" s="5"/>
      <c r="L277" s="7"/>
      <c r="M277" s="7"/>
      <c r="N277" s="5"/>
      <c r="O277" s="8">
        <f>IF(B277="","",IF(AND(G277="Externe",J277&lt;&gt;"Oui"),"Annexer le rapport",IF(AND(K277="Oui",M277=""),"Suites à décider","Complet")))</f>
      </c>
    </row>
    <row r="278" spans="1:15" x14ac:dyDescent="0.25">
      <c r="A278" s="5">
        <v>274</v>
      </c>
      <c r="B278" s="6"/>
      <c r="C278" s="5"/>
      <c r="D278" s="5"/>
      <c r="E278" s="5"/>
      <c r="F278" s="5"/>
      <c r="G278" s="5"/>
      <c r="H278" s="5"/>
      <c r="I278" s="6"/>
      <c r="J278" s="5"/>
      <c r="K278" s="5"/>
      <c r="L278" s="7"/>
      <c r="M278" s="7"/>
      <c r="N278" s="5"/>
      <c r="O278" s="8">
        <f>IF(B278="","",IF(AND(G278="Externe",J278&lt;&gt;"Oui"),"Annexer le rapport",IF(AND(K278="Oui",M278=""),"Suites à décider","Complet")))</f>
      </c>
    </row>
    <row r="279" spans="1:15" x14ac:dyDescent="0.25">
      <c r="A279" s="5">
        <v>275</v>
      </c>
      <c r="B279" s="6"/>
      <c r="C279" s="5"/>
      <c r="D279" s="5"/>
      <c r="E279" s="5"/>
      <c r="F279" s="5"/>
      <c r="G279" s="5"/>
      <c r="H279" s="5"/>
      <c r="I279" s="6"/>
      <c r="J279" s="5"/>
      <c r="K279" s="5"/>
      <c r="L279" s="7"/>
      <c r="M279" s="7"/>
      <c r="N279" s="5"/>
      <c r="O279" s="8">
        <f>IF(B279="","",IF(AND(G279="Externe",J279&lt;&gt;"Oui"),"Annexer le rapport",IF(AND(K279="Oui",M279=""),"Suites à décider","Complet")))</f>
      </c>
    </row>
    <row r="280" spans="1:15" x14ac:dyDescent="0.25">
      <c r="A280" s="5">
        <v>276</v>
      </c>
      <c r="B280" s="6"/>
      <c r="C280" s="5"/>
      <c r="D280" s="5"/>
      <c r="E280" s="5"/>
      <c r="F280" s="5"/>
      <c r="G280" s="5"/>
      <c r="H280" s="5"/>
      <c r="I280" s="6"/>
      <c r="J280" s="5"/>
      <c r="K280" s="5"/>
      <c r="L280" s="7"/>
      <c r="M280" s="7"/>
      <c r="N280" s="5"/>
      <c r="O280" s="8">
        <f>IF(B280="","",IF(AND(G280="Externe",J280&lt;&gt;"Oui"),"Annexer le rapport",IF(AND(K280="Oui",M280=""),"Suites à décider","Complet")))</f>
      </c>
    </row>
    <row r="281" spans="1:15" x14ac:dyDescent="0.25">
      <c r="A281" s="5">
        <v>277</v>
      </c>
      <c r="B281" s="6"/>
      <c r="C281" s="5"/>
      <c r="D281" s="5"/>
      <c r="E281" s="5"/>
      <c r="F281" s="5"/>
      <c r="G281" s="5"/>
      <c r="H281" s="5"/>
      <c r="I281" s="6"/>
      <c r="J281" s="5"/>
      <c r="K281" s="5"/>
      <c r="L281" s="7"/>
      <c r="M281" s="7"/>
      <c r="N281" s="5"/>
      <c r="O281" s="8">
        <f>IF(B281="","",IF(AND(G281="Externe",J281&lt;&gt;"Oui"),"Annexer le rapport",IF(AND(K281="Oui",M281=""),"Suites à décider","Complet")))</f>
      </c>
    </row>
    <row r="282" spans="1:15" x14ac:dyDescent="0.25">
      <c r="A282" s="5">
        <v>278</v>
      </c>
      <c r="B282" s="6"/>
      <c r="C282" s="5"/>
      <c r="D282" s="5"/>
      <c r="E282" s="5"/>
      <c r="F282" s="5"/>
      <c r="G282" s="5"/>
      <c r="H282" s="5"/>
      <c r="I282" s="6"/>
      <c r="J282" s="5"/>
      <c r="K282" s="5"/>
      <c r="L282" s="7"/>
      <c r="M282" s="7"/>
      <c r="N282" s="5"/>
      <c r="O282" s="8">
        <f>IF(B282="","",IF(AND(G282="Externe",J282&lt;&gt;"Oui"),"Annexer le rapport",IF(AND(K282="Oui",M282=""),"Suites à décider","Complet")))</f>
      </c>
    </row>
    <row r="283" spans="1:15" x14ac:dyDescent="0.25">
      <c r="A283" s="5">
        <v>279</v>
      </c>
      <c r="B283" s="6"/>
      <c r="C283" s="5"/>
      <c r="D283" s="5"/>
      <c r="E283" s="5"/>
      <c r="F283" s="5"/>
      <c r="G283" s="5"/>
      <c r="H283" s="5"/>
      <c r="I283" s="6"/>
      <c r="J283" s="5"/>
      <c r="K283" s="5"/>
      <c r="L283" s="7"/>
      <c r="M283" s="7"/>
      <c r="N283" s="5"/>
      <c r="O283" s="8">
        <f>IF(B283="","",IF(AND(G283="Externe",J283&lt;&gt;"Oui"),"Annexer le rapport",IF(AND(K283="Oui",M283=""),"Suites à décider","Complet")))</f>
      </c>
    </row>
    <row r="284" spans="1:15" x14ac:dyDescent="0.25">
      <c r="A284" s="5">
        <v>280</v>
      </c>
      <c r="B284" s="6"/>
      <c r="C284" s="5"/>
      <c r="D284" s="5"/>
      <c r="E284" s="5"/>
      <c r="F284" s="5"/>
      <c r="G284" s="5"/>
      <c r="H284" s="5"/>
      <c r="I284" s="6"/>
      <c r="J284" s="5"/>
      <c r="K284" s="5"/>
      <c r="L284" s="7"/>
      <c r="M284" s="7"/>
      <c r="N284" s="5"/>
      <c r="O284" s="8">
        <f>IF(B284="","",IF(AND(G284="Externe",J284&lt;&gt;"Oui"),"Annexer le rapport",IF(AND(K284="Oui",M284=""),"Suites à décider","Complet")))</f>
      </c>
    </row>
    <row r="285" spans="1:15" x14ac:dyDescent="0.25">
      <c r="A285" s="5">
        <v>281</v>
      </c>
      <c r="B285" s="6"/>
      <c r="C285" s="5"/>
      <c r="D285" s="5"/>
      <c r="E285" s="5"/>
      <c r="F285" s="5"/>
      <c r="G285" s="5"/>
      <c r="H285" s="5"/>
      <c r="I285" s="6"/>
      <c r="J285" s="5"/>
      <c r="K285" s="5"/>
      <c r="L285" s="7"/>
      <c r="M285" s="7"/>
      <c r="N285" s="5"/>
      <c r="O285" s="8">
        <f>IF(B285="","",IF(AND(G285="Externe",J285&lt;&gt;"Oui"),"Annexer le rapport",IF(AND(K285="Oui",M285=""),"Suites à décider","Complet")))</f>
      </c>
    </row>
    <row r="286" spans="1:15" x14ac:dyDescent="0.25">
      <c r="A286" s="5">
        <v>282</v>
      </c>
      <c r="B286" s="6"/>
      <c r="C286" s="5"/>
      <c r="D286" s="5"/>
      <c r="E286" s="5"/>
      <c r="F286" s="5"/>
      <c r="G286" s="5"/>
      <c r="H286" s="5"/>
      <c r="I286" s="6"/>
      <c r="J286" s="5"/>
      <c r="K286" s="5"/>
      <c r="L286" s="7"/>
      <c r="M286" s="7"/>
      <c r="N286" s="5"/>
      <c r="O286" s="8">
        <f>IF(B286="","",IF(AND(G286="Externe",J286&lt;&gt;"Oui"),"Annexer le rapport",IF(AND(K286="Oui",M286=""),"Suites à décider","Complet")))</f>
      </c>
    </row>
    <row r="287" spans="1:15" x14ac:dyDescent="0.25">
      <c r="A287" s="5">
        <v>283</v>
      </c>
      <c r="B287" s="6"/>
      <c r="C287" s="5"/>
      <c r="D287" s="5"/>
      <c r="E287" s="5"/>
      <c r="F287" s="5"/>
      <c r="G287" s="5"/>
      <c r="H287" s="5"/>
      <c r="I287" s="6"/>
      <c r="J287" s="5"/>
      <c r="K287" s="5"/>
      <c r="L287" s="7"/>
      <c r="M287" s="7"/>
      <c r="N287" s="5"/>
      <c r="O287" s="8">
        <f>IF(B287="","",IF(AND(G287="Externe",J287&lt;&gt;"Oui"),"Annexer le rapport",IF(AND(K287="Oui",M287=""),"Suites à décider","Complet")))</f>
      </c>
    </row>
    <row r="288" spans="1:15" x14ac:dyDescent="0.25">
      <c r="A288" s="5">
        <v>284</v>
      </c>
      <c r="B288" s="6"/>
      <c r="C288" s="5"/>
      <c r="D288" s="5"/>
      <c r="E288" s="5"/>
      <c r="F288" s="5"/>
      <c r="G288" s="5"/>
      <c r="H288" s="5"/>
      <c r="I288" s="6"/>
      <c r="J288" s="5"/>
      <c r="K288" s="5"/>
      <c r="L288" s="7"/>
      <c r="M288" s="7"/>
      <c r="N288" s="5"/>
      <c r="O288" s="8">
        <f>IF(B288="","",IF(AND(G288="Externe",J288&lt;&gt;"Oui"),"Annexer le rapport",IF(AND(K288="Oui",M288=""),"Suites à décider","Complet")))</f>
      </c>
    </row>
    <row r="289" spans="1:15" x14ac:dyDescent="0.25">
      <c r="A289" s="5">
        <v>285</v>
      </c>
      <c r="B289" s="6"/>
      <c r="C289" s="5"/>
      <c r="D289" s="5"/>
      <c r="E289" s="5"/>
      <c r="F289" s="5"/>
      <c r="G289" s="5"/>
      <c r="H289" s="5"/>
      <c r="I289" s="6"/>
      <c r="J289" s="5"/>
      <c r="K289" s="5"/>
      <c r="L289" s="7"/>
      <c r="M289" s="7"/>
      <c r="N289" s="5"/>
      <c r="O289" s="8">
        <f>IF(B289="","",IF(AND(G289="Externe",J289&lt;&gt;"Oui"),"Annexer le rapport",IF(AND(K289="Oui",M289=""),"Suites à décider","Complet")))</f>
      </c>
    </row>
    <row r="290" spans="1:15" x14ac:dyDescent="0.25">
      <c r="A290" s="5">
        <v>286</v>
      </c>
      <c r="B290" s="6"/>
      <c r="C290" s="5"/>
      <c r="D290" s="5"/>
      <c r="E290" s="5"/>
      <c r="F290" s="5"/>
      <c r="G290" s="5"/>
      <c r="H290" s="5"/>
      <c r="I290" s="6"/>
      <c r="J290" s="5"/>
      <c r="K290" s="5"/>
      <c r="L290" s="7"/>
      <c r="M290" s="7"/>
      <c r="N290" s="5"/>
      <c r="O290" s="8">
        <f>IF(B290="","",IF(AND(G290="Externe",J290&lt;&gt;"Oui"),"Annexer le rapport",IF(AND(K290="Oui",M290=""),"Suites à décider","Complet")))</f>
      </c>
    </row>
    <row r="291" spans="1:15" x14ac:dyDescent="0.25">
      <c r="A291" s="5">
        <v>287</v>
      </c>
      <c r="B291" s="6"/>
      <c r="C291" s="5"/>
      <c r="D291" s="5"/>
      <c r="E291" s="5"/>
      <c r="F291" s="5"/>
      <c r="G291" s="5"/>
      <c r="H291" s="5"/>
      <c r="I291" s="6"/>
      <c r="J291" s="5"/>
      <c r="K291" s="5"/>
      <c r="L291" s="7"/>
      <c r="M291" s="7"/>
      <c r="N291" s="5"/>
      <c r="O291" s="8">
        <f>IF(B291="","",IF(AND(G291="Externe",J291&lt;&gt;"Oui"),"Annexer le rapport",IF(AND(K291="Oui",M291=""),"Suites à décider","Complet")))</f>
      </c>
    </row>
    <row r="292" spans="1:15" x14ac:dyDescent="0.25">
      <c r="A292" s="5">
        <v>288</v>
      </c>
      <c r="B292" s="6"/>
      <c r="C292" s="5"/>
      <c r="D292" s="5"/>
      <c r="E292" s="5"/>
      <c r="F292" s="5"/>
      <c r="G292" s="5"/>
      <c r="H292" s="5"/>
      <c r="I292" s="6"/>
      <c r="J292" s="5"/>
      <c r="K292" s="5"/>
      <c r="L292" s="7"/>
      <c r="M292" s="7"/>
      <c r="N292" s="5"/>
      <c r="O292" s="8">
        <f>IF(B292="","",IF(AND(G292="Externe",J292&lt;&gt;"Oui"),"Annexer le rapport",IF(AND(K292="Oui",M292=""),"Suites à décider","Complet")))</f>
      </c>
    </row>
    <row r="293" spans="1:15" x14ac:dyDescent="0.25">
      <c r="A293" s="5">
        <v>289</v>
      </c>
      <c r="B293" s="6"/>
      <c r="C293" s="5"/>
      <c r="D293" s="5"/>
      <c r="E293" s="5"/>
      <c r="F293" s="5"/>
      <c r="G293" s="5"/>
      <c r="H293" s="5"/>
      <c r="I293" s="6"/>
      <c r="J293" s="5"/>
      <c r="K293" s="5"/>
      <c r="L293" s="7"/>
      <c r="M293" s="7"/>
      <c r="N293" s="5"/>
      <c r="O293" s="8">
        <f>IF(B293="","",IF(AND(G293="Externe",J293&lt;&gt;"Oui"),"Annexer le rapport",IF(AND(K293="Oui",M293=""),"Suites à décider","Complet")))</f>
      </c>
    </row>
    <row r="294" spans="1:15" x14ac:dyDescent="0.25">
      <c r="A294" s="5">
        <v>290</v>
      </c>
      <c r="B294" s="6"/>
      <c r="C294" s="5"/>
      <c r="D294" s="5"/>
      <c r="E294" s="5"/>
      <c r="F294" s="5"/>
      <c r="G294" s="5"/>
      <c r="H294" s="5"/>
      <c r="I294" s="6"/>
      <c r="J294" s="5"/>
      <c r="K294" s="5"/>
      <c r="L294" s="7"/>
      <c r="M294" s="7"/>
      <c r="N294" s="5"/>
      <c r="O294" s="8">
        <f>IF(B294="","",IF(AND(G294="Externe",J294&lt;&gt;"Oui"),"Annexer le rapport",IF(AND(K294="Oui",M294=""),"Suites à décider","Complet")))</f>
      </c>
    </row>
    <row r="295" spans="1:15" x14ac:dyDescent="0.25">
      <c r="A295" s="5">
        <v>291</v>
      </c>
      <c r="B295" s="6"/>
      <c r="C295" s="5"/>
      <c r="D295" s="5"/>
      <c r="E295" s="5"/>
      <c r="F295" s="5"/>
      <c r="G295" s="5"/>
      <c r="H295" s="5"/>
      <c r="I295" s="6"/>
      <c r="J295" s="5"/>
      <c r="K295" s="5"/>
      <c r="L295" s="7"/>
      <c r="M295" s="7"/>
      <c r="N295" s="5"/>
      <c r="O295" s="8">
        <f>IF(B295="","",IF(AND(G295="Externe",J295&lt;&gt;"Oui"),"Annexer le rapport",IF(AND(K295="Oui",M295=""),"Suites à décider","Complet")))</f>
      </c>
    </row>
    <row r="296" spans="1:15" x14ac:dyDescent="0.25">
      <c r="A296" s="5">
        <v>292</v>
      </c>
      <c r="B296" s="6"/>
      <c r="C296" s="5"/>
      <c r="D296" s="5"/>
      <c r="E296" s="5"/>
      <c r="F296" s="5"/>
      <c r="G296" s="5"/>
      <c r="H296" s="5"/>
      <c r="I296" s="6"/>
      <c r="J296" s="5"/>
      <c r="K296" s="5"/>
      <c r="L296" s="7"/>
      <c r="M296" s="7"/>
      <c r="N296" s="5"/>
      <c r="O296" s="8">
        <f>IF(B296="","",IF(AND(G296="Externe",J296&lt;&gt;"Oui"),"Annexer le rapport",IF(AND(K296="Oui",M296=""),"Suites à décider","Complet")))</f>
      </c>
    </row>
    <row r="297" spans="1:15" x14ac:dyDescent="0.25">
      <c r="A297" s="5">
        <v>293</v>
      </c>
      <c r="B297" s="6"/>
      <c r="C297" s="5"/>
      <c r="D297" s="5"/>
      <c r="E297" s="5"/>
      <c r="F297" s="5"/>
      <c r="G297" s="5"/>
      <c r="H297" s="5"/>
      <c r="I297" s="6"/>
      <c r="J297" s="5"/>
      <c r="K297" s="5"/>
      <c r="L297" s="7"/>
      <c r="M297" s="7"/>
      <c r="N297" s="5"/>
      <c r="O297" s="8">
        <f>IF(B297="","",IF(AND(G297="Externe",J297&lt;&gt;"Oui"),"Annexer le rapport",IF(AND(K297="Oui",M297=""),"Suites à décider","Complet")))</f>
      </c>
    </row>
    <row r="298" spans="1:15" x14ac:dyDescent="0.25">
      <c r="A298" s="5">
        <v>294</v>
      </c>
      <c r="B298" s="6"/>
      <c r="C298" s="5"/>
      <c r="D298" s="5"/>
      <c r="E298" s="5"/>
      <c r="F298" s="5"/>
      <c r="G298" s="5"/>
      <c r="H298" s="5"/>
      <c r="I298" s="6"/>
      <c r="J298" s="5"/>
      <c r="K298" s="5"/>
      <c r="L298" s="7"/>
      <c r="M298" s="7"/>
      <c r="N298" s="5"/>
      <c r="O298" s="8">
        <f>IF(B298="","",IF(AND(G298="Externe",J298&lt;&gt;"Oui"),"Annexer le rapport",IF(AND(K298="Oui",M298=""),"Suites à décider","Complet")))</f>
      </c>
    </row>
    <row r="299" spans="1:15" x14ac:dyDescent="0.25">
      <c r="A299" s="5">
        <v>295</v>
      </c>
      <c r="B299" s="6"/>
      <c r="C299" s="5"/>
      <c r="D299" s="5"/>
      <c r="E299" s="5"/>
      <c r="F299" s="5"/>
      <c r="G299" s="5"/>
      <c r="H299" s="5"/>
      <c r="I299" s="6"/>
      <c r="J299" s="5"/>
      <c r="K299" s="5"/>
      <c r="L299" s="7"/>
      <c r="M299" s="7"/>
      <c r="N299" s="5"/>
      <c r="O299" s="8">
        <f>IF(B299="","",IF(AND(G299="Externe",J299&lt;&gt;"Oui"),"Annexer le rapport",IF(AND(K299="Oui",M299=""),"Suites à décider","Complet")))</f>
      </c>
    </row>
    <row r="300" spans="1:15" x14ac:dyDescent="0.25">
      <c r="A300" s="5">
        <v>296</v>
      </c>
      <c r="B300" s="6"/>
      <c r="C300" s="5"/>
      <c r="D300" s="5"/>
      <c r="E300" s="5"/>
      <c r="F300" s="5"/>
      <c r="G300" s="5"/>
      <c r="H300" s="5"/>
      <c r="I300" s="6"/>
      <c r="J300" s="5"/>
      <c r="K300" s="5"/>
      <c r="L300" s="7"/>
      <c r="M300" s="7"/>
      <c r="N300" s="5"/>
      <c r="O300" s="8">
        <f>IF(B300="","",IF(AND(G300="Externe",J300&lt;&gt;"Oui"),"Annexer le rapport",IF(AND(K300="Oui",M300=""),"Suites à décider","Complet")))</f>
      </c>
    </row>
    <row r="301" spans="1:15" x14ac:dyDescent="0.25">
      <c r="A301" s="5">
        <v>297</v>
      </c>
      <c r="B301" s="6"/>
      <c r="C301" s="5"/>
      <c r="D301" s="5"/>
      <c r="E301" s="5"/>
      <c r="F301" s="5"/>
      <c r="G301" s="5"/>
      <c r="H301" s="5"/>
      <c r="I301" s="6"/>
      <c r="J301" s="5"/>
      <c r="K301" s="5"/>
      <c r="L301" s="7"/>
      <c r="M301" s="7"/>
      <c r="N301" s="5"/>
      <c r="O301" s="8">
        <f>IF(B301="","",IF(AND(G301="Externe",J301&lt;&gt;"Oui"),"Annexer le rapport",IF(AND(K301="Oui",M301=""),"Suites à décider","Complet")))</f>
      </c>
    </row>
    <row r="302" spans="1:15" x14ac:dyDescent="0.25">
      <c r="A302" s="5">
        <v>298</v>
      </c>
      <c r="B302" s="6"/>
      <c r="C302" s="5"/>
      <c r="D302" s="5"/>
      <c r="E302" s="5"/>
      <c r="F302" s="5"/>
      <c r="G302" s="5"/>
      <c r="H302" s="5"/>
      <c r="I302" s="6"/>
      <c r="J302" s="5"/>
      <c r="K302" s="5"/>
      <c r="L302" s="7"/>
      <c r="M302" s="7"/>
      <c r="N302" s="5"/>
      <c r="O302" s="8">
        <f>IF(B302="","",IF(AND(G302="Externe",J302&lt;&gt;"Oui"),"Annexer le rapport",IF(AND(K302="Oui",M302=""),"Suites à décider","Complet")))</f>
      </c>
    </row>
    <row r="303" spans="1:15" x14ac:dyDescent="0.25">
      <c r="A303" s="5">
        <v>299</v>
      </c>
      <c r="B303" s="6"/>
      <c r="C303" s="5"/>
      <c r="D303" s="5"/>
      <c r="E303" s="5"/>
      <c r="F303" s="5"/>
      <c r="G303" s="5"/>
      <c r="H303" s="5"/>
      <c r="I303" s="6"/>
      <c r="J303" s="5"/>
      <c r="K303" s="5"/>
      <c r="L303" s="7"/>
      <c r="M303" s="7"/>
      <c r="N303" s="5"/>
      <c r="O303" s="8">
        <f>IF(B303="","",IF(AND(G303="Externe",J303&lt;&gt;"Oui"),"Annexer le rapport",IF(AND(K303="Oui",M303=""),"Suites à décider","Complet")))</f>
      </c>
    </row>
    <row r="304" spans="1:15" x14ac:dyDescent="0.25">
      <c r="A304" s="5">
        <v>300</v>
      </c>
      <c r="B304" s="6"/>
      <c r="C304" s="5"/>
      <c r="D304" s="5"/>
      <c r="E304" s="5"/>
      <c r="F304" s="5"/>
      <c r="G304" s="5"/>
      <c r="H304" s="5"/>
      <c r="I304" s="6"/>
      <c r="J304" s="5"/>
      <c r="K304" s="5"/>
      <c r="L304" s="7"/>
      <c r="M304" s="7"/>
      <c r="N304" s="5"/>
      <c r="O304" s="8">
        <f>IF(B304="","",IF(AND(G304="Externe",J304&lt;&gt;"Oui"),"Annexer le rapport",IF(AND(K304="Oui",M304=""),"Suites à décider","Complet")))</f>
      </c>
    </row>
  </sheetData>
  <autoFilter ref="A4:O304"/>
  <mergeCells count="2">
    <mergeCell ref="A1:O1"/>
    <mergeCell ref="A2:O2"/>
  </mergeCells>
  <conditionalFormatting sqref="O5:O304">
    <cfRule type="expression" dxfId="3" priority="1">
      <formula>$O5="Annexer le rapport"</formula>
    </cfRule>
    <cfRule type="expression" dxfId="4" priority="2">
      <formula>$O5="Suites à décider"</formula>
    </cfRule>
    <cfRule type="expression" dxfId="5" priority="3">
      <formula>$O5="Complet"</formula>
    </cfRule>
  </conditionalFormatting>
  <dataValidations count="7">
    <dataValidation type="date" operator="greaterThan" allowBlank="1" showErrorMessage="1" errorTitle="Date attendue" error="Saisissez une date, par exemple 12/03/2026." sqref="B5:B304">
      <formula1>36526</formula1>
    </dataValidation>
    <dataValidation type="list" allowBlank="1" sqref="D5:D304">
      <formula1>"Chariot élévateur,Gerbeur,Nacelle (PEMP),Pont roulant palan potence,Grue auxiliaire et grue mobile,Hayon élévateur,Engin de chantier,Accessoires de levage"</formula1>
    </dataValidation>
    <dataValidation type="list" allowBlank="1" sqref="E5:E304">
      <formula1>"Mise en service,Périodique,Remise en service"</formula1>
    </dataValidation>
    <dataValidation type="list" allowBlank="1" sqref="G5:G304">
      <formula1>"Interne,Externe"</formula1>
    </dataValidation>
    <dataValidation type="date" operator="greaterThan" allowBlank="1" showErrorMessage="1" errorTitle="Date attendue" error="Saisissez une date, par exemple 12/03/2026." sqref="I5:I304">
      <formula1>36526</formula1>
    </dataValidation>
    <dataValidation type="list" allowBlank="1" sqref="J5:J304">
      <formula1>"Oui,Non"</formula1>
    </dataValidation>
    <dataValidation type="list" allowBlank="1" sqref="K5:K304">
      <formula1>"Oui,Non"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&amp;Lmodele-vgp.fr&amp;RPage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0" customWidth="1"/>
  </cols>
  <sheetData>
    <row r="1" spans="1:1" x14ac:dyDescent="0.25">
      <c r="A1" s="15" t="s">
        <v>46</v>
      </c>
    </row>
    <row r="2" spans="1:1" x14ac:dyDescent="0.25">
      <c r="A2" s="16" t="s">
        <v>47</v>
      </c>
    </row>
    <row r="3" spans="1:1" x14ac:dyDescent="0.25">
      <c r="A3" s="16" t="s">
        <v>48</v>
      </c>
    </row>
    <row r="4" spans="1:1" x14ac:dyDescent="0.25">
      <c r="A4" s="16" t="s">
        <v>49</v>
      </c>
    </row>
    <row r="5" spans="1:1" x14ac:dyDescent="0.25">
      <c r="A5" s="16" t="s">
        <v>50</v>
      </c>
    </row>
    <row r="6" spans="1:1" x14ac:dyDescent="0.25">
      <c r="A6" s="16" t="s">
        <v>51</v>
      </c>
    </row>
    <row r="7" spans="1:1" x14ac:dyDescent="0.25">
      <c r="A7" s="15" t="s">
        <v>52</v>
      </c>
    </row>
    <row r="8" spans="1:1" x14ac:dyDescent="0.25">
      <c r="A8" s="16" t="s">
        <v>53</v>
      </c>
    </row>
    <row r="9" spans="1:1" x14ac:dyDescent="0.25">
      <c r="A9" s="16" t="s">
        <v>54</v>
      </c>
    </row>
    <row r="10" spans="1:1" x14ac:dyDescent="0.25">
      <c r="A10" s="17" t="s">
        <v>55</v>
      </c>
    </row>
    <row r="11" spans="1:1" x14ac:dyDescent="0.25">
      <c r="A11" s="16" t="s">
        <v>51</v>
      </c>
    </row>
    <row r="12" spans="1:1" x14ac:dyDescent="0.25">
      <c r="A12" s="15" t="s">
        <v>56</v>
      </c>
    </row>
    <row r="13" spans="1:1" x14ac:dyDescent="0.25">
      <c r="A13" s="16" t="s">
        <v>57</v>
      </c>
    </row>
    <row r="14" spans="1:1" x14ac:dyDescent="0.25">
      <c r="A14" s="17" t="s">
        <v>58</v>
      </c>
    </row>
    <row r="15" spans="1:1" x14ac:dyDescent="0.25">
      <c r="A15" s="16" t="s">
        <v>51</v>
      </c>
    </row>
    <row r="16" spans="1:1" x14ac:dyDescent="0.25">
      <c r="A16" s="16" t="s">
        <v>59</v>
      </c>
    </row>
    <row r="17" spans="1:1" x14ac:dyDescent="0.25">
      <c r="A17" s="17" t="s">
        <v>60</v>
      </c>
    </row>
  </sheetData>
  <hyperlinks>
    <hyperlink ref="A10" r:id="rId1"/>
    <hyperlink ref="A14" r:id="rId2"/>
    <hyperlink ref="A1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Registre</vt:lpstr>
      <vt:lpstr>Tableau de bord</vt:lpstr>
      <vt:lpstr>Exemple</vt:lpstr>
      <vt:lpstr>Mode d’emploi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modele-vgp.fr</dc:creator>
  <dc:title>Registre de sécurité · vérifications des appareils de levage</dc:title>
  <dc:subject/>
  <dc:description/>
  <cp:keywords/>
  <cp:category/>
  <cp:lastModifiedBy>Unknown</cp:lastModifiedBy>
  <dcterms:created xsi:type="dcterms:W3CDTF">2026-10-19T08:05:20Z</dcterms:created>
  <dcterms:modified xsi:type="dcterms:W3CDTF">2026-10-19T08:05:20Z</dcterms:modified>
</cp:coreProperties>
</file>